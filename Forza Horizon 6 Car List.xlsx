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iled Car List + Stats" sheetId="1" state="visible" r:id="rId3"/>
  </sheets>
  <definedNames>
    <definedName function="false" hidden="true" localSheetId="0" name="_xlnm._FilterDatabase" vbProcedure="false">'Detailed Car List + Stats'!$A$1:$S$637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<sst xmlns="http://schemas.openxmlformats.org/spreadsheetml/2006/main" count="6017" uniqueCount="853">
  <si>
    <t xml:space="preserve">Year</t>
  </si>
  <si>
    <t xml:space="preserve">Make</t>
  </si>
  <si>
    <t xml:space="preserve">Model</t>
  </si>
  <si>
    <t xml:space="preserve">Type</t>
  </si>
  <si>
    <t xml:space="preserve">Class</t>
  </si>
  <si>
    <t xml:space="preserve">PI</t>
  </si>
  <si>
    <t xml:space="preserve">Country</t>
  </si>
  <si>
    <t xml:space="preserve">Value (Cr)</t>
  </si>
  <si>
    <t xml:space="preserve">Rarity</t>
  </si>
  <si>
    <t xml:space="preserve">Power (HP)</t>
  </si>
  <si>
    <t xml:space="preserve">Torque (Imperial)</t>
  </si>
  <si>
    <t xml:space="preserve">Torque (Metric)</t>
  </si>
  <si>
    <t xml:space="preserve">Weight (Imperial)</t>
  </si>
  <si>
    <t xml:space="preserve">Weight (Metric)</t>
  </si>
  <si>
    <t xml:space="preserve">Drivetrain</t>
  </si>
  <si>
    <t xml:space="preserve">Engine Pos.</t>
  </si>
  <si>
    <t xml:space="preserve">Power to Weight (Imperial)</t>
  </si>
  <si>
    <t xml:space="preserve">Power to Weight (Metric)</t>
  </si>
  <si>
    <t xml:space="preserve">Source</t>
  </si>
  <si>
    <t xml:space="preserve">2017</t>
  </si>
  <si>
    <t xml:space="preserve">Abarth</t>
  </si>
  <si>
    <t xml:space="preserve">124 Spider</t>
  </si>
  <si>
    <t xml:space="preserve">Modern Sports Cars</t>
  </si>
  <si>
    <t xml:space="preserve">C</t>
  </si>
  <si>
    <t xml:space="preserve">Italy</t>
  </si>
  <si>
    <t xml:space="preserve">Rare</t>
  </si>
  <si>
    <t xml:space="preserve">RWD</t>
  </si>
  <si>
    <t xml:space="preserve">Front</t>
  </si>
  <si>
    <t xml:space="preserve">Seasonal</t>
  </si>
  <si>
    <t xml:space="preserve">1968</t>
  </si>
  <si>
    <t xml:space="preserve">595 Esseesse</t>
  </si>
  <si>
    <t xml:space="preserve">Cult Cars</t>
  </si>
  <si>
    <t xml:space="preserve">D</t>
  </si>
  <si>
    <t xml:space="preserve">Common</t>
  </si>
  <si>
    <t xml:space="preserve">Rear</t>
  </si>
  <si>
    <t xml:space="preserve">Autoshow, Wheelspin</t>
  </si>
  <si>
    <t xml:space="preserve">2016</t>
  </si>
  <si>
    <t xml:space="preserve">695 Biposto</t>
  </si>
  <si>
    <t xml:space="preserve">Hot Hatch</t>
  </si>
  <si>
    <t xml:space="preserve">B</t>
  </si>
  <si>
    <t xml:space="preserve">1980</t>
  </si>
  <si>
    <t xml:space="preserve">Fiat 131</t>
  </si>
  <si>
    <t xml:space="preserve">Classic Rally</t>
  </si>
  <si>
    <t xml:space="preserve">2023</t>
  </si>
  <si>
    <t xml:space="preserve">Acura</t>
  </si>
  <si>
    <t xml:space="preserve">Integra A-Spec</t>
  </si>
  <si>
    <t xml:space="preserve">USA</t>
  </si>
  <si>
    <t xml:space="preserve">FWD</t>
  </si>
  <si>
    <t xml:space="preserve">2001</t>
  </si>
  <si>
    <t xml:space="preserve">Integra Type R</t>
  </si>
  <si>
    <t xml:space="preserve">Retro Hot Hatch</t>
  </si>
  <si>
    <t xml:space="preserve">2022</t>
  </si>
  <si>
    <t xml:space="preserve">NSX Type S</t>
  </si>
  <si>
    <t xml:space="preserve">Modern Supercars</t>
  </si>
  <si>
    <t xml:space="preserve">S1</t>
  </si>
  <si>
    <t xml:space="preserve">Epic</t>
  </si>
  <si>
    <t xml:space="preserve">2002</t>
  </si>
  <si>
    <t xml:space="preserve">RSX Type S</t>
  </si>
  <si>
    <t xml:space="preserve">1992</t>
  </si>
  <si>
    <t xml:space="preserve">Alfa Romeo</t>
  </si>
  <si>
    <t xml:space="preserve">155 Q4</t>
  </si>
  <si>
    <t xml:space="preserve">Retro Super Saloons</t>
  </si>
  <si>
    <t xml:space="preserve">AWD</t>
  </si>
  <si>
    <t xml:space="preserve">Autoshow</t>
  </si>
  <si>
    <t xml:space="preserve">33 Stradale</t>
  </si>
  <si>
    <t xml:space="preserve">Classic Racers</t>
  </si>
  <si>
    <t xml:space="preserve">Legendary</t>
  </si>
  <si>
    <t xml:space="preserve">Mid</t>
  </si>
  <si>
    <t xml:space="preserve">2014</t>
  </si>
  <si>
    <t xml:space="preserve">4C</t>
  </si>
  <si>
    <t xml:space="preserve">A</t>
  </si>
  <si>
    <t xml:space="preserve">2007</t>
  </si>
  <si>
    <t xml:space="preserve">8C Competizione</t>
  </si>
  <si>
    <t xml:space="preserve">GT Cars</t>
  </si>
  <si>
    <t xml:space="preserve">Autodelta Tipo 33/2 Daytona</t>
  </si>
  <si>
    <t xml:space="preserve">Autoshow DLC</t>
  </si>
  <si>
    <t xml:space="preserve">2021</t>
  </si>
  <si>
    <t xml:space="preserve">Giulia GTAm</t>
  </si>
  <si>
    <t xml:space="preserve">Modern Super Saloons</t>
  </si>
  <si>
    <t xml:space="preserve">Giulia Quadrifoglio</t>
  </si>
  <si>
    <t xml:space="preserve">1965</t>
  </si>
  <si>
    <t xml:space="preserve">Giulia Sprint GTA Stradale</t>
  </si>
  <si>
    <t xml:space="preserve">Rare Classics</t>
  </si>
  <si>
    <t xml:space="preserve">Giulia TZ2</t>
  </si>
  <si>
    <t xml:space="preserve">Collection Journal, Seasonal</t>
  </si>
  <si>
    <t xml:space="preserve">1990</t>
  </si>
  <si>
    <t xml:space="preserve">SE 048SP</t>
  </si>
  <si>
    <t xml:space="preserve">Retro Racers</t>
  </si>
  <si>
    <t xml:space="preserve">R</t>
  </si>
  <si>
    <t xml:space="preserve">Alumicraft</t>
  </si>
  <si>
    <t xml:space="preserve">#122 Class 1 Buggy</t>
  </si>
  <si>
    <t xml:space="preserve">Unlimited Buggies</t>
  </si>
  <si>
    <t xml:space="preserve">#6165 Trick Truck</t>
  </si>
  <si>
    <t xml:space="preserve">Unlimited Offroad</t>
  </si>
  <si>
    <t xml:space="preserve">2015</t>
  </si>
  <si>
    <t xml:space="preserve">Class 10 Race Car</t>
  </si>
  <si>
    <t xml:space="preserve">2554</t>
  </si>
  <si>
    <t xml:space="preserve">AMG Transport Dynamics</t>
  </si>
  <si>
    <t xml:space="preserve">M12S Warthog CST</t>
  </si>
  <si>
    <t xml:space="preserve">Autoshow, Collection Journal</t>
  </si>
  <si>
    <t xml:space="preserve">2018</t>
  </si>
  <si>
    <t xml:space="preserve">Apollo</t>
  </si>
  <si>
    <t xml:space="preserve">Intensa Emozione</t>
  </si>
  <si>
    <t xml:space="preserve">Extreme Track Toys</t>
  </si>
  <si>
    <t xml:space="preserve">Germany</t>
  </si>
  <si>
    <t xml:space="preserve">Wheelspin, Seasonal</t>
  </si>
  <si>
    <t xml:space="preserve">2013</t>
  </si>
  <si>
    <t xml:space="preserve">Ariel</t>
  </si>
  <si>
    <t xml:space="preserve">Atom 500 V8</t>
  </si>
  <si>
    <t xml:space="preserve">S2</t>
  </si>
  <si>
    <t xml:space="preserve">UK</t>
  </si>
  <si>
    <t xml:space="preserve">Nomad</t>
  </si>
  <si>
    <t xml:space="preserve">Autoshow, Collection Journal, Wheelspin</t>
  </si>
  <si>
    <t xml:space="preserve">Aston Martin</t>
  </si>
  <si>
    <t xml:space="preserve">DB11</t>
  </si>
  <si>
    <t xml:space="preserve">Super GT</t>
  </si>
  <si>
    <t xml:space="preserve">1964</t>
  </si>
  <si>
    <t xml:space="preserve">DB5 Vantage</t>
  </si>
  <si>
    <t xml:space="preserve">2003</t>
  </si>
  <si>
    <t xml:space="preserve">DB7 GT</t>
  </si>
  <si>
    <t xml:space="preserve">Retro Sports Cars</t>
  </si>
  <si>
    <t xml:space="preserve">2019</t>
  </si>
  <si>
    <t xml:space="preserve">DBS Superleggera</t>
  </si>
  <si>
    <t xml:space="preserve">DBX</t>
  </si>
  <si>
    <t xml:space="preserve">Sports Utility Heroes</t>
  </si>
  <si>
    <t xml:space="preserve">Valhalla Concept Car</t>
  </si>
  <si>
    <t xml:space="preserve">Hypercars</t>
  </si>
  <si>
    <t xml:space="preserve">Valkyrie</t>
  </si>
  <si>
    <t xml:space="preserve">Valkyrie AMR Pro</t>
  </si>
  <si>
    <t xml:space="preserve">Vantage</t>
  </si>
  <si>
    <t xml:space="preserve">Vulcan</t>
  </si>
  <si>
    <t xml:space="preserve">Autoshow, Wheelspin, Loyalty</t>
  </si>
  <si>
    <t xml:space="preserve">Vulcan AMR Pro</t>
  </si>
  <si>
    <t xml:space="preserve">1986</t>
  </si>
  <si>
    <t xml:space="preserve">Audi</t>
  </si>
  <si>
    <t xml:space="preserve">#2 Audi Sport Quattro S1</t>
  </si>
  <si>
    <t xml:space="preserve">Rally Monsters</t>
  </si>
  <si>
    <t xml:space="preserve">R8 Coupé V10 GT RWD</t>
  </si>
  <si>
    <t xml:space="preserve">R8 Coupé V10 Plus 5.2 FSI Quattro</t>
  </si>
  <si>
    <t xml:space="preserve">2009</t>
  </si>
  <si>
    <t xml:space="preserve">R8 LMS</t>
  </si>
  <si>
    <t xml:space="preserve">2020</t>
  </si>
  <si>
    <t xml:space="preserve">R8 V10 Performance</t>
  </si>
  <si>
    <t xml:space="preserve">R8 V10 Plus</t>
  </si>
  <si>
    <t xml:space="preserve">RS 3 Sedan</t>
  </si>
  <si>
    <t xml:space="preserve">2011</t>
  </si>
  <si>
    <t xml:space="preserve">RS 3 Sportback</t>
  </si>
  <si>
    <t xml:space="preserve">Super Hot Hatch</t>
  </si>
  <si>
    <t xml:space="preserve">2006</t>
  </si>
  <si>
    <t xml:space="preserve">RS 4</t>
  </si>
  <si>
    <t xml:space="preserve">RS 4 Avant</t>
  </si>
  <si>
    <t xml:space="preserve">RS 5 Coupé</t>
  </si>
  <si>
    <t xml:space="preserve">RS 6</t>
  </si>
  <si>
    <t xml:space="preserve">RS 6 Avant</t>
  </si>
  <si>
    <t xml:space="preserve">RS 7 Sportback</t>
  </si>
  <si>
    <t xml:space="preserve">RS e-tron GT</t>
  </si>
  <si>
    <t xml:space="preserve">1983</t>
  </si>
  <si>
    <t xml:space="preserve">Sport Quattro</t>
  </si>
  <si>
    <t xml:space="preserve">Retro Rally</t>
  </si>
  <si>
    <t xml:space="preserve">2010</t>
  </si>
  <si>
    <t xml:space="preserve">TT RS Coupé</t>
  </si>
  <si>
    <t xml:space="preserve">Austin-Healey</t>
  </si>
  <si>
    <t xml:space="preserve">3000 Mk III</t>
  </si>
  <si>
    <t xml:space="preserve">Classic Sports Cars</t>
  </si>
  <si>
    <t xml:space="preserve">1993</t>
  </si>
  <si>
    <t xml:space="preserve">Autozam</t>
  </si>
  <si>
    <t xml:space="preserve">AZ-1</t>
  </si>
  <si>
    <t xml:space="preserve">Eclectic Domestics</t>
  </si>
  <si>
    <t xml:space="preserve">Japan</t>
  </si>
  <si>
    <t xml:space="preserve">BAC</t>
  </si>
  <si>
    <t xml:space="preserve">Mono</t>
  </si>
  <si>
    <t xml:space="preserve">Track Toys</t>
  </si>
  <si>
    <t xml:space="preserve">Bentley</t>
  </si>
  <si>
    <t xml:space="preserve">Bentayga</t>
  </si>
  <si>
    <t xml:space="preserve">Continental GT Convertible</t>
  </si>
  <si>
    <t xml:space="preserve">1973</t>
  </si>
  <si>
    <t xml:space="preserve">BMW</t>
  </si>
  <si>
    <t xml:space="preserve">2002 Turbo</t>
  </si>
  <si>
    <t xml:space="preserve">1995</t>
  </si>
  <si>
    <t xml:space="preserve">850CSi</t>
  </si>
  <si>
    <t xml:space="preserve">i8</t>
  </si>
  <si>
    <t xml:space="preserve">1957</t>
  </si>
  <si>
    <t xml:space="preserve">Isetta 300 Export</t>
  </si>
  <si>
    <t xml:space="preserve">iX xDrive50</t>
  </si>
  <si>
    <t xml:space="preserve">1981</t>
  </si>
  <si>
    <t xml:space="preserve">M1</t>
  </si>
  <si>
    <t xml:space="preserve">Retro Supercars</t>
  </si>
  <si>
    <t xml:space="preserve">Treasure Car</t>
  </si>
  <si>
    <t xml:space="preserve">Collection Journal</t>
  </si>
  <si>
    <t xml:space="preserve">M2</t>
  </si>
  <si>
    <t xml:space="preserve">M2 Competition Coupé</t>
  </si>
  <si>
    <t xml:space="preserve">M2 Forza Edition</t>
  </si>
  <si>
    <t xml:space="preserve">1988</t>
  </si>
  <si>
    <t xml:space="preserve">M3</t>
  </si>
  <si>
    <t xml:space="preserve">1997</t>
  </si>
  <si>
    <t xml:space="preserve">2005</t>
  </si>
  <si>
    <t xml:space="preserve">2008</t>
  </si>
  <si>
    <t xml:space="preserve">M3 GTS</t>
  </si>
  <si>
    <t xml:space="preserve">M4 Competition Coupé</t>
  </si>
  <si>
    <t xml:space="preserve">M4 Competition Coupé Welcome Pack</t>
  </si>
  <si>
    <t xml:space="preserve">M4 Coupé</t>
  </si>
  <si>
    <t xml:space="preserve">M4 GTS</t>
  </si>
  <si>
    <t xml:space="preserve">M5</t>
  </si>
  <si>
    <t xml:space="preserve">2012</t>
  </si>
  <si>
    <t xml:space="preserve">M5 CS</t>
  </si>
  <si>
    <t xml:space="preserve">M8 Competition Coupé</t>
  </si>
  <si>
    <t xml:space="preserve">X5 M</t>
  </si>
  <si>
    <t xml:space="preserve">2024</t>
  </si>
  <si>
    <t xml:space="preserve">X6 M Competition</t>
  </si>
  <si>
    <t xml:space="preserve">Z4 M Coupé</t>
  </si>
  <si>
    <t xml:space="preserve">Z4 Roadster</t>
  </si>
  <si>
    <t xml:space="preserve">1987</t>
  </si>
  <si>
    <t xml:space="preserve">Buick</t>
  </si>
  <si>
    <t xml:space="preserve">Regal GNX</t>
  </si>
  <si>
    <t xml:space="preserve">Retro Muscle</t>
  </si>
  <si>
    <t xml:space="preserve">Cadillac</t>
  </si>
  <si>
    <t xml:space="preserve">ATS-V</t>
  </si>
  <si>
    <t xml:space="preserve">Modern Muscle</t>
  </si>
  <si>
    <t xml:space="preserve">CT4-V Blackwing</t>
  </si>
  <si>
    <t xml:space="preserve">CT5-V Blackwing</t>
  </si>
  <si>
    <t xml:space="preserve">CTS-V Sedan</t>
  </si>
  <si>
    <t xml:space="preserve">XTS Limousine</t>
  </si>
  <si>
    <t xml:space="preserve">Can-Am</t>
  </si>
  <si>
    <t xml:space="preserve">Maverick X RS Turbo R</t>
  </si>
  <si>
    <t xml:space="preserve">UTVs</t>
  </si>
  <si>
    <t xml:space="preserve">Canada</t>
  </si>
  <si>
    <t xml:space="preserve">Casey Currie Motorsports</t>
  </si>
  <si>
    <t xml:space="preserve">#4402 Ultra 4 'Trophy Jeep'</t>
  </si>
  <si>
    <t xml:space="preserve">1955</t>
  </si>
  <si>
    <t xml:space="preserve">Chevrolet</t>
  </si>
  <si>
    <t xml:space="preserve">150 Utility Sedan</t>
  </si>
  <si>
    <t xml:space="preserve">Rods &amp; Customs</t>
  </si>
  <si>
    <t xml:space="preserve">Bel Air</t>
  </si>
  <si>
    <t xml:space="preserve">1969</t>
  </si>
  <si>
    <t xml:space="preserve">Camaro Super Sport Coupe</t>
  </si>
  <si>
    <t xml:space="preserve">Classic Muscle</t>
  </si>
  <si>
    <t xml:space="preserve">Camaro Z/28</t>
  </si>
  <si>
    <t xml:space="preserve">1970</t>
  </si>
  <si>
    <t xml:space="preserve">Camaro Z28</t>
  </si>
  <si>
    <t xml:space="preserve">1979</t>
  </si>
  <si>
    <t xml:space="preserve">Camaro ZL1</t>
  </si>
  <si>
    <t xml:space="preserve">Camaro SS 1LE</t>
  </si>
  <si>
    <t xml:space="preserve">Chevelle Super Sport 454</t>
  </si>
  <si>
    <t xml:space="preserve">1953</t>
  </si>
  <si>
    <t xml:space="preserve">Corvette</t>
  </si>
  <si>
    <t xml:space="preserve">1960</t>
  </si>
  <si>
    <t xml:space="preserve">Corvette E-Ray</t>
  </si>
  <si>
    <t xml:space="preserve">1967</t>
  </si>
  <si>
    <t xml:space="preserve">Corvette Stingray 427</t>
  </si>
  <si>
    <t xml:space="preserve">Corvette Stingray Coupe</t>
  </si>
  <si>
    <t xml:space="preserve">Corvette Z06</t>
  </si>
  <si>
    <t xml:space="preserve">Corvette ZR-1</t>
  </si>
  <si>
    <t xml:space="preserve">Corvette ZR1</t>
  </si>
  <si>
    <t xml:space="preserve">El Camino Super Sport 454</t>
  </si>
  <si>
    <t xml:space="preserve">Utility Heroes</t>
  </si>
  <si>
    <t xml:space="preserve">1996</t>
  </si>
  <si>
    <t xml:space="preserve">Impala Super Sport</t>
  </si>
  <si>
    <t xml:space="preserve">Impala Super Sport 409</t>
  </si>
  <si>
    <t xml:space="preserve">1972</t>
  </si>
  <si>
    <t xml:space="preserve">K-10 Custom</t>
  </si>
  <si>
    <t xml:space="preserve">Pickups &amp; 4x4s</t>
  </si>
  <si>
    <t xml:space="preserve">Monte Carlo Super Sport</t>
  </si>
  <si>
    <t xml:space="preserve">Nova Super Sport 396</t>
  </si>
  <si>
    <t xml:space="preserve">Silverado LT Trail Boss</t>
  </si>
  <si>
    <t xml:space="preserve">Datsun</t>
  </si>
  <si>
    <t xml:space="preserve">#269 Attacking the Clock Racing 240Z 'All Carbon Hill Climb Beast'</t>
  </si>
  <si>
    <t xml:space="preserve">2000 Roadster</t>
  </si>
  <si>
    <t xml:space="preserve">510</t>
  </si>
  <si>
    <t xml:space="preserve">1984</t>
  </si>
  <si>
    <t xml:space="preserve">De Tomaso</t>
  </si>
  <si>
    <t xml:space="preserve">Pantera GT5</t>
  </si>
  <si>
    <t xml:space="preserve">DeBerti</t>
  </si>
  <si>
    <t xml:space="preserve">Chevrolet Silverado 1500 Drift Truck</t>
  </si>
  <si>
    <t xml:space="preserve">Drift Cars</t>
  </si>
  <si>
    <t xml:space="preserve">Ford Super Duty F-250 Lariat 'Transformer'</t>
  </si>
  <si>
    <t xml:space="preserve">Jeep Wrangler Unlimited</t>
  </si>
  <si>
    <t xml:space="preserve">Toyota Tacoma TRD ‘The Performance Truck’</t>
  </si>
  <si>
    <t xml:space="preserve">1982</t>
  </si>
  <si>
    <t xml:space="preserve">DeLorean</t>
  </si>
  <si>
    <t xml:space="preserve">DMC-12</t>
  </si>
  <si>
    <t xml:space="preserve">Dodge</t>
  </si>
  <si>
    <t xml:space="preserve">Challenger R/T</t>
  </si>
  <si>
    <t xml:space="preserve">Challenger SRT Demon</t>
  </si>
  <si>
    <t xml:space="preserve">Challenger SRT Hellcat</t>
  </si>
  <si>
    <t xml:space="preserve">Challenger SRT Super Stock</t>
  </si>
  <si>
    <t xml:space="preserve">Charger Daytona HEMI</t>
  </si>
  <si>
    <t xml:space="preserve">Charger R/T</t>
  </si>
  <si>
    <t xml:space="preserve">Charger SRT Hellcat</t>
  </si>
  <si>
    <t xml:space="preserve">Coronet Super Bee</t>
  </si>
  <si>
    <t xml:space="preserve">Dart HEMI Super Stock</t>
  </si>
  <si>
    <t xml:space="preserve">Durango SRT Hellcat</t>
  </si>
  <si>
    <t xml:space="preserve">Ram SRT-10</t>
  </si>
  <si>
    <t xml:space="preserve">Viper ACR</t>
  </si>
  <si>
    <t xml:space="preserve">1999</t>
  </si>
  <si>
    <t xml:space="preserve">Viper GTS ACR</t>
  </si>
  <si>
    <t xml:space="preserve">Viper GTS ACR Forza Edition</t>
  </si>
  <si>
    <t xml:space="preserve">Forza Edition</t>
  </si>
  <si>
    <t xml:space="preserve">Viper SRT-10 ACR</t>
  </si>
  <si>
    <t xml:space="preserve">Exomotive</t>
  </si>
  <si>
    <t xml:space="preserve">Exocet Sport V8 XP-5</t>
  </si>
  <si>
    <t xml:space="preserve">Ferrari</t>
  </si>
  <si>
    <t xml:space="preserve">#24 Ferrari Spa 330 P4</t>
  </si>
  <si>
    <t xml:space="preserve">1963</t>
  </si>
  <si>
    <t xml:space="preserve">250 GT Berlinetta Lusso</t>
  </si>
  <si>
    <t xml:space="preserve">1962</t>
  </si>
  <si>
    <t xml:space="preserve">250 GTO</t>
  </si>
  <si>
    <t xml:space="preserve">275 GTB4 Spider</t>
  </si>
  <si>
    <t xml:space="preserve">288 GTO</t>
  </si>
  <si>
    <t xml:space="preserve">296 GTB</t>
  </si>
  <si>
    <t xml:space="preserve">430 Scuderia</t>
  </si>
  <si>
    <t xml:space="preserve">458 Italia</t>
  </si>
  <si>
    <t xml:space="preserve">458 Speciale</t>
  </si>
  <si>
    <t xml:space="preserve">488 GTB</t>
  </si>
  <si>
    <t xml:space="preserve">488 Pista</t>
  </si>
  <si>
    <t xml:space="preserve">512 S</t>
  </si>
  <si>
    <t xml:space="preserve">512 TR</t>
  </si>
  <si>
    <t xml:space="preserve">599XX</t>
  </si>
  <si>
    <t xml:space="preserve">599XX Evolution</t>
  </si>
  <si>
    <t xml:space="preserve">812 Superfast</t>
  </si>
  <si>
    <t xml:space="preserve">Dino 246 GT</t>
  </si>
  <si>
    <t xml:space="preserve">Enzo Ferrari</t>
  </si>
  <si>
    <t xml:space="preserve">F12tdf</t>
  </si>
  <si>
    <t xml:space="preserve">1994</t>
  </si>
  <si>
    <t xml:space="preserve">F355 Berlinetta</t>
  </si>
  <si>
    <t xml:space="preserve">F40</t>
  </si>
  <si>
    <t xml:space="preserve">1989</t>
  </si>
  <si>
    <t xml:space="preserve">F40 Competizione</t>
  </si>
  <si>
    <t xml:space="preserve">F50</t>
  </si>
  <si>
    <t xml:space="preserve">F50 GT</t>
  </si>
  <si>
    <t xml:space="preserve">F8 Tributo</t>
  </si>
  <si>
    <t xml:space="preserve">2025</t>
  </si>
  <si>
    <t xml:space="preserve">F80</t>
  </si>
  <si>
    <t xml:space="preserve">FXX</t>
  </si>
  <si>
    <t xml:space="preserve">FXX K</t>
  </si>
  <si>
    <t xml:space="preserve">FXX-K Evo</t>
  </si>
  <si>
    <t xml:space="preserve">FXX-K Evo Welcome Pack</t>
  </si>
  <si>
    <t xml:space="preserve">J50</t>
  </si>
  <si>
    <t xml:space="preserve">J50 Preorder Car</t>
  </si>
  <si>
    <t xml:space="preserve">LaFerrari</t>
  </si>
  <si>
    <t xml:space="preserve">Monza SP2</t>
  </si>
  <si>
    <t xml:space="preserve">Portofino</t>
  </si>
  <si>
    <t xml:space="preserve">Roma</t>
  </si>
  <si>
    <t xml:space="preserve">SF90 Stradale</t>
  </si>
  <si>
    <t xml:space="preserve">Ford</t>
  </si>
  <si>
    <t xml:space="preserve">#11 Rockstar F-150 Trophy Truck</t>
  </si>
  <si>
    <t xml:space="preserve">#14 Rahal Letterman Lanigan Racing Fiesta</t>
  </si>
  <si>
    <t xml:space="preserve">1966</t>
  </si>
  <si>
    <t xml:space="preserve">#2 GT40 Mk II</t>
  </si>
  <si>
    <t xml:space="preserve">#2069 Ford Performance Bronco R</t>
  </si>
  <si>
    <t xml:space="preserve">Offroad</t>
  </si>
  <si>
    <t xml:space="preserve">#25 'Brocky' Ultra4 Bronco RTR</t>
  </si>
  <si>
    <t xml:space="preserve">#4 Ford Focus RS</t>
  </si>
  <si>
    <t xml:space="preserve">1977</t>
  </si>
  <si>
    <t xml:space="preserve">#5 Escort RS1800 Mk II</t>
  </si>
  <si>
    <t xml:space="preserve">Bronco Raptor</t>
  </si>
  <si>
    <t xml:space="preserve">Capri RS3100</t>
  </si>
  <si>
    <t xml:space="preserve">Crown Victoria Police Interceptor</t>
  </si>
  <si>
    <t xml:space="preserve">1932</t>
  </si>
  <si>
    <t xml:space="preserve">De Luxe Five-Window Coupe</t>
  </si>
  <si>
    <t xml:space="preserve">Escort RS Cosworth</t>
  </si>
  <si>
    <t xml:space="preserve">F-150 Lightning</t>
  </si>
  <si>
    <t xml:space="preserve">F-150 Raptor R</t>
  </si>
  <si>
    <t xml:space="preserve">F-150 Raptor R Welcome Pack</t>
  </si>
  <si>
    <t xml:space="preserve">F-150 SVT Lightning</t>
  </si>
  <si>
    <t xml:space="preserve">F-150 XLT Lariat</t>
  </si>
  <si>
    <t xml:space="preserve">Fiesta ST</t>
  </si>
  <si>
    <t xml:space="preserve">Focus RS</t>
  </si>
  <si>
    <t xml:space="preserve">Focus ST</t>
  </si>
  <si>
    <t xml:space="preserve">FPV Limited Edition Pursuit Ute</t>
  </si>
  <si>
    <t xml:space="preserve">GT</t>
  </si>
  <si>
    <t xml:space="preserve">M-Sport Fiesta RS</t>
  </si>
  <si>
    <t xml:space="preserve">Mustang Boss 302</t>
  </si>
  <si>
    <t xml:space="preserve">Mustang Dark Horse</t>
  </si>
  <si>
    <t xml:space="preserve">Mustang GT</t>
  </si>
  <si>
    <t xml:space="preserve">Mustang GT 2+2 Fastback</t>
  </si>
  <si>
    <t xml:space="preserve">Mustang GT 2+2 Fastback Forza Edition</t>
  </si>
  <si>
    <t xml:space="preserve">Mustang Coupe</t>
  </si>
  <si>
    <t xml:space="preserve">Mustang RTR Spec 5</t>
  </si>
  <si>
    <t xml:space="preserve">Mustang Shelby GT350R</t>
  </si>
  <si>
    <t xml:space="preserve">Mustang Shelby GT500</t>
  </si>
  <si>
    <t xml:space="preserve">Mustang SVT Cobra R</t>
  </si>
  <si>
    <t xml:space="preserve">2000</t>
  </si>
  <si>
    <t xml:space="preserve">Racing Puma</t>
  </si>
  <si>
    <t xml:space="preserve">Ranger T6 Rally Raid</t>
  </si>
  <si>
    <t xml:space="preserve">1985</t>
  </si>
  <si>
    <t xml:space="preserve">RS200 Evolution</t>
  </si>
  <si>
    <t xml:space="preserve">Sierra Cosworth RS500</t>
  </si>
  <si>
    <t xml:space="preserve">Super Duty F-450 DRW Platinum</t>
  </si>
  <si>
    <t xml:space="preserve">Super Duty F-450 DRW Platinum Forza Edition</t>
  </si>
  <si>
    <t xml:space="preserve">Supervan 3</t>
  </si>
  <si>
    <t xml:space="preserve">Supervan 4</t>
  </si>
  <si>
    <t xml:space="preserve">Thunderbird</t>
  </si>
  <si>
    <t xml:space="preserve">Transit SuperSportVan</t>
  </si>
  <si>
    <t xml:space="preserve">XB Falcon GT</t>
  </si>
  <si>
    <t xml:space="preserve">Formula Drift</t>
  </si>
  <si>
    <t xml:space="preserve">#117 599 GTB Fiorano</t>
  </si>
  <si>
    <t xml:space="preserve">#13 Ford Mustang</t>
  </si>
  <si>
    <t xml:space="preserve">#151 Toyota GR Supra</t>
  </si>
  <si>
    <t xml:space="preserve">#34 Toyota Supra Mk IV</t>
  </si>
  <si>
    <t xml:space="preserve">#411 Toyota Corolla Hatchback</t>
  </si>
  <si>
    <t xml:space="preserve">#43 Dodge Viper SRT-10 ACR</t>
  </si>
  <si>
    <t xml:space="preserve">#530 HSV Maloo GEN-F</t>
  </si>
  <si>
    <t xml:space="preserve">#64 Forsberg Racing Nissan Z</t>
  </si>
  <si>
    <t xml:space="preserve">#777 Chevrolet Corvette</t>
  </si>
  <si>
    <t xml:space="preserve">#777 Nissan 240SX</t>
  </si>
  <si>
    <t xml:space="preserve">#91 BMW M2</t>
  </si>
  <si>
    <t xml:space="preserve">#98 BMW 325i</t>
  </si>
  <si>
    <t xml:space="preserve">#99 Mazda RX-8</t>
  </si>
  <si>
    <t xml:space="preserve">Funco Motorsports</t>
  </si>
  <si>
    <t xml:space="preserve">F9</t>
  </si>
  <si>
    <t xml:space="preserve">GMC</t>
  </si>
  <si>
    <t xml:space="preserve">HUMMER EV Pickup</t>
  </si>
  <si>
    <t xml:space="preserve">Jimmy</t>
  </si>
  <si>
    <t xml:space="preserve">1991</t>
  </si>
  <si>
    <t xml:space="preserve">Syclone</t>
  </si>
  <si>
    <t xml:space="preserve">Typhoon</t>
  </si>
  <si>
    <t xml:space="preserve">Gordon Murray Automotive</t>
  </si>
  <si>
    <t xml:space="preserve">T.50</t>
  </si>
  <si>
    <t xml:space="preserve">GR</t>
  </si>
  <si>
    <t xml:space="preserve">GT Prototype</t>
  </si>
  <si>
    <t xml:space="preserve">Hennessey</t>
  </si>
  <si>
    <t xml:space="preserve">Ford F-150 VelociRaptor 6x6</t>
  </si>
  <si>
    <t xml:space="preserve">Venom F5</t>
  </si>
  <si>
    <t xml:space="preserve">Venom GT</t>
  </si>
  <si>
    <t xml:space="preserve">Holden</t>
  </si>
  <si>
    <t xml:space="preserve">Torana A9X</t>
  </si>
  <si>
    <t xml:space="preserve">Australia</t>
  </si>
  <si>
    <t xml:space="preserve">Honda</t>
  </si>
  <si>
    <t xml:space="preserve">#19 101 Motorsport CRX WTAC</t>
  </si>
  <si>
    <t xml:space="preserve">#21 Hardrace/JDMYard Civic WTAC</t>
  </si>
  <si>
    <t xml:space="preserve">#33 Integra WTAC</t>
  </si>
  <si>
    <t xml:space="preserve">2004</t>
  </si>
  <si>
    <t xml:space="preserve">#52 Evasive Motorsports S2000 WTAC</t>
  </si>
  <si>
    <t xml:space="preserve">Acty</t>
  </si>
  <si>
    <t xml:space="preserve">Beat</t>
  </si>
  <si>
    <t xml:space="preserve">City E II</t>
  </si>
  <si>
    <t xml:space="preserve">Civic CRX Mugen</t>
  </si>
  <si>
    <t xml:space="preserve">1974</t>
  </si>
  <si>
    <t xml:space="preserve">Civic RS</t>
  </si>
  <si>
    <t xml:space="preserve">Civic Si</t>
  </si>
  <si>
    <t xml:space="preserve">Civic Type R</t>
  </si>
  <si>
    <t xml:space="preserve">CR-X SiR</t>
  </si>
  <si>
    <t xml:space="preserve">e</t>
  </si>
  <si>
    <t xml:space="preserve">N600</t>
  </si>
  <si>
    <t xml:space="preserve">Electic Domestics</t>
  </si>
  <si>
    <t xml:space="preserve">NSX-R</t>
  </si>
  <si>
    <t xml:space="preserve">NSX-R GT</t>
  </si>
  <si>
    <t xml:space="preserve">Barn Find</t>
  </si>
  <si>
    <t xml:space="preserve">Prelude Si</t>
  </si>
  <si>
    <t xml:space="preserve">Ridgeline Baja Trophy Truck</t>
  </si>
  <si>
    <t xml:space="preserve">S2000</t>
  </si>
  <si>
    <t xml:space="preserve">S800</t>
  </si>
  <si>
    <t xml:space="preserve">Z GT</t>
  </si>
  <si>
    <t xml:space="preserve">HSV</t>
  </si>
  <si>
    <t xml:space="preserve">GEN-F GTS</t>
  </si>
  <si>
    <t xml:space="preserve">Limited Edition GEN-F GTS Maloo</t>
  </si>
  <si>
    <t xml:space="preserve">Hyundai</t>
  </si>
  <si>
    <t xml:space="preserve">i20 N</t>
  </si>
  <si>
    <t xml:space="preserve">Korea</t>
  </si>
  <si>
    <t xml:space="preserve">i30 N</t>
  </si>
  <si>
    <t xml:space="preserve">IONIQ 5 N</t>
  </si>
  <si>
    <t xml:space="preserve">N Vision 74</t>
  </si>
  <si>
    <t xml:space="preserve">Veloster N</t>
  </si>
  <si>
    <t xml:space="preserve">Jaguar</t>
  </si>
  <si>
    <t xml:space="preserve">C-X75</t>
  </si>
  <si>
    <t xml:space="preserve">1956</t>
  </si>
  <si>
    <t xml:space="preserve">D-Type</t>
  </si>
  <si>
    <t xml:space="preserve">1961</t>
  </si>
  <si>
    <t xml:space="preserve">E-type</t>
  </si>
  <si>
    <t xml:space="preserve">Lightweight E-Type</t>
  </si>
  <si>
    <t xml:space="preserve">Sport XJR-15</t>
  </si>
  <si>
    <t xml:space="preserve">XJ220</t>
  </si>
  <si>
    <t xml:space="preserve">XJ220S TWR</t>
  </si>
  <si>
    <t xml:space="preserve">Jeep</t>
  </si>
  <si>
    <t xml:space="preserve">Grand Cherokee Trackhawk</t>
  </si>
  <si>
    <t xml:space="preserve">Gladiator Rubicon</t>
  </si>
  <si>
    <t xml:space="preserve">Trailcat</t>
  </si>
  <si>
    <t xml:space="preserve">Wrangler Rubicon</t>
  </si>
  <si>
    <t xml:space="preserve">Jimco</t>
  </si>
  <si>
    <t xml:space="preserve">#179 Hammerhead Class 1</t>
  </si>
  <si>
    <t xml:space="preserve">#240 Fastball Racing Class 6100 Spec Trophy Truck</t>
  </si>
  <si>
    <t xml:space="preserve">Koenigsegg</t>
  </si>
  <si>
    <t xml:space="preserve">Agera</t>
  </si>
  <si>
    <t xml:space="preserve">Sweden</t>
  </si>
  <si>
    <t xml:space="preserve">Agera RS</t>
  </si>
  <si>
    <t xml:space="preserve">CCGT</t>
  </si>
  <si>
    <t xml:space="preserve">Gemera</t>
  </si>
  <si>
    <t xml:space="preserve">Jesko</t>
  </si>
  <si>
    <t xml:space="preserve">One:1</t>
  </si>
  <si>
    <t xml:space="preserve">Regera</t>
  </si>
  <si>
    <t xml:space="preserve">KTM</t>
  </si>
  <si>
    <t xml:space="preserve">X-Bow GT4</t>
  </si>
  <si>
    <t xml:space="preserve">Austria</t>
  </si>
  <si>
    <t xml:space="preserve">Lamborghini</t>
  </si>
  <si>
    <t xml:space="preserve">Aventador LP 780-4 Ultimae</t>
  </si>
  <si>
    <t xml:space="preserve">Aventador LP700-4</t>
  </si>
  <si>
    <t xml:space="preserve">Aventador SVJ</t>
  </si>
  <si>
    <t xml:space="preserve">Centenario LP 770-4</t>
  </si>
  <si>
    <t xml:space="preserve">Countach LP5000 QV</t>
  </si>
  <si>
    <t xml:space="preserve">Countach LPI 800-4</t>
  </si>
  <si>
    <t xml:space="preserve">Diablo GTR</t>
  </si>
  <si>
    <t xml:space="preserve">Diablo SV</t>
  </si>
  <si>
    <t xml:space="preserve">Essenza SCV12</t>
  </si>
  <si>
    <t xml:space="preserve">Gallardo LP570-4 Spider Performante</t>
  </si>
  <si>
    <t xml:space="preserve">Huracán EVO</t>
  </si>
  <si>
    <t xml:space="preserve">Huracán EVO Spider</t>
  </si>
  <si>
    <t xml:space="preserve">Huracán LP 610-4</t>
  </si>
  <si>
    <t xml:space="preserve">Huracán Sterrato</t>
  </si>
  <si>
    <t xml:space="preserve">Huracán STO</t>
  </si>
  <si>
    <t xml:space="preserve">Huracán Tecnica</t>
  </si>
  <si>
    <t xml:space="preserve">Miura P400</t>
  </si>
  <si>
    <t xml:space="preserve">Murciélago LP 670-4 SV</t>
  </si>
  <si>
    <t xml:space="preserve">Revuelto</t>
  </si>
  <si>
    <t xml:space="preserve">Sesto Elemento</t>
  </si>
  <si>
    <t xml:space="preserve">Sián Roadster</t>
  </si>
  <si>
    <t xml:space="preserve">Temerario</t>
  </si>
  <si>
    <t xml:space="preserve">Urus</t>
  </si>
  <si>
    <t xml:space="preserve">Veneno</t>
  </si>
  <si>
    <t xml:space="preserve">Lancia</t>
  </si>
  <si>
    <t xml:space="preserve">037 Stradale</t>
  </si>
  <si>
    <t xml:space="preserve">Delta HF Integrale EVO</t>
  </si>
  <si>
    <t xml:space="preserve">Delta S4</t>
  </si>
  <si>
    <t xml:space="preserve">Stratos HF Stradale</t>
  </si>
  <si>
    <t xml:space="preserve">Land Rover</t>
  </si>
  <si>
    <t xml:space="preserve">Defender 110 X</t>
  </si>
  <si>
    <t xml:space="preserve">Range Rover Sport SVR</t>
  </si>
  <si>
    <t xml:space="preserve">Lexus</t>
  </si>
  <si>
    <t xml:space="preserve">LC 500</t>
  </si>
  <si>
    <t xml:space="preserve">LFA</t>
  </si>
  <si>
    <t xml:space="preserve">LFA Forza Edition</t>
  </si>
  <si>
    <t xml:space="preserve">RC F</t>
  </si>
  <si>
    <t xml:space="preserve">Lincoln</t>
  </si>
  <si>
    <t xml:space="preserve">Continental</t>
  </si>
  <si>
    <t xml:space="preserve">Lotus</t>
  </si>
  <si>
    <t xml:space="preserve">Elise GT1</t>
  </si>
  <si>
    <t xml:space="preserve">Elise Series 1 Sport 190</t>
  </si>
  <si>
    <t xml:space="preserve">Emira</t>
  </si>
  <si>
    <t xml:space="preserve">Evija</t>
  </si>
  <si>
    <t xml:space="preserve">Evija Forza Edition</t>
  </si>
  <si>
    <t xml:space="preserve">Exige Cup 430</t>
  </si>
  <si>
    <t xml:space="preserve">Scura Motorsports Exige WTAC</t>
  </si>
  <si>
    <t xml:space="preserve">Lucid</t>
  </si>
  <si>
    <t xml:space="preserve">Air Sapphire</t>
  </si>
  <si>
    <t xml:space="preserve">Maserati</t>
  </si>
  <si>
    <t xml:space="preserve">Ghibli Cup</t>
  </si>
  <si>
    <t xml:space="preserve">MC12</t>
  </si>
  <si>
    <t xml:space="preserve">MC12 Corsa</t>
  </si>
  <si>
    <t xml:space="preserve">MC20</t>
  </si>
  <si>
    <t xml:space="preserve">Mazda</t>
  </si>
  <si>
    <t xml:space="preserve">#123 Mad Mike 808 Wagon 'FURSTY'</t>
  </si>
  <si>
    <t xml:space="preserve">#55 Mazda 787B</t>
  </si>
  <si>
    <t xml:space="preserve">Cosmo 110S Series II</t>
  </si>
  <si>
    <t xml:space="preserve">Furai</t>
  </si>
  <si>
    <t xml:space="preserve">Mazdaspeed 3</t>
  </si>
  <si>
    <t xml:space="preserve">Mazdaspeed MX-5</t>
  </si>
  <si>
    <t xml:space="preserve">MX-5</t>
  </si>
  <si>
    <t xml:space="preserve">MX-5 Cup</t>
  </si>
  <si>
    <t xml:space="preserve">MX-5 Miata</t>
  </si>
  <si>
    <t xml:space="preserve">MX-5 Miata Forza Edition</t>
  </si>
  <si>
    <t xml:space="preserve">Aftermarket</t>
  </si>
  <si>
    <t xml:space="preserve">MX-5 Miata RF</t>
  </si>
  <si>
    <t xml:space="preserve">RX-3</t>
  </si>
  <si>
    <t xml:space="preserve">RX-3 Forza Edition</t>
  </si>
  <si>
    <t xml:space="preserve">RX-7 GSL-SE</t>
  </si>
  <si>
    <t xml:space="preserve">RX-7 Type R</t>
  </si>
  <si>
    <t xml:space="preserve">RX-8 R3</t>
  </si>
  <si>
    <t xml:space="preserve">Savanna RX-7</t>
  </si>
  <si>
    <t xml:space="preserve">McLaren</t>
  </si>
  <si>
    <t xml:space="preserve">12C Coupé</t>
  </si>
  <si>
    <t xml:space="preserve">570S Coupé</t>
  </si>
  <si>
    <t xml:space="preserve">600LT Coupé</t>
  </si>
  <si>
    <t xml:space="preserve">620R</t>
  </si>
  <si>
    <t xml:space="preserve">650S Spider</t>
  </si>
  <si>
    <t xml:space="preserve">765LT Coupé</t>
  </si>
  <si>
    <t xml:space="preserve">Artura</t>
  </si>
  <si>
    <t xml:space="preserve">F1</t>
  </si>
  <si>
    <t xml:space="preserve">F1 GT</t>
  </si>
  <si>
    <t xml:space="preserve">P1</t>
  </si>
  <si>
    <t xml:space="preserve">Sabre</t>
  </si>
  <si>
    <t xml:space="preserve">Speedtail</t>
  </si>
  <si>
    <t xml:space="preserve">Mercedes-AMG</t>
  </si>
  <si>
    <t xml:space="preserve">C 63 S Coupé</t>
  </si>
  <si>
    <t xml:space="preserve">E 63 S</t>
  </si>
  <si>
    <t xml:space="preserve">GT 4-Door Coupé</t>
  </si>
  <si>
    <t xml:space="preserve">GT Black Series</t>
  </si>
  <si>
    <t xml:space="preserve">GT Black Series Welcome Pack</t>
  </si>
  <si>
    <t xml:space="preserve">GT R</t>
  </si>
  <si>
    <t xml:space="preserve">GT S</t>
  </si>
  <si>
    <t xml:space="preserve">ONE</t>
  </si>
  <si>
    <t xml:space="preserve">SL 63</t>
  </si>
  <si>
    <t xml:space="preserve">SLC 43 Final Edition</t>
  </si>
  <si>
    <t xml:space="preserve">Mercedes-Benz</t>
  </si>
  <si>
    <t xml:space="preserve">190 E 2.5-16 Evolution II</t>
  </si>
  <si>
    <t xml:space="preserve">190 E 2.5-16 Evolution II Forza Edition</t>
  </si>
  <si>
    <t xml:space="preserve">1954</t>
  </si>
  <si>
    <t xml:space="preserve">300 SL Coupé</t>
  </si>
  <si>
    <t xml:space="preserve">300 SLR</t>
  </si>
  <si>
    <t xml:space="preserve">A 45 AMG</t>
  </si>
  <si>
    <t xml:space="preserve">1998</t>
  </si>
  <si>
    <t xml:space="preserve">AMG CLK GTR</t>
  </si>
  <si>
    <t xml:space="preserve">AMG Hammer Coupe</t>
  </si>
  <si>
    <t xml:space="preserve">C 63 AMG Coupé Black Series</t>
  </si>
  <si>
    <t xml:space="preserve">G 65 AMG 6x6</t>
  </si>
  <si>
    <t xml:space="preserve">G 65 AMG</t>
  </si>
  <si>
    <t xml:space="preserve">SL 65 AMG Black Series</t>
  </si>
  <si>
    <t xml:space="preserve">Unimog U5023</t>
  </si>
  <si>
    <t xml:space="preserve">X-Class</t>
  </si>
  <si>
    <t xml:space="preserve">1971</t>
  </si>
  <si>
    <t xml:space="preserve">Meyers</t>
  </si>
  <si>
    <t xml:space="preserve">Manx</t>
  </si>
  <si>
    <t xml:space="preserve">Buggies</t>
  </si>
  <si>
    <t xml:space="preserve">Manx 2.0</t>
  </si>
  <si>
    <t xml:space="preserve">MG</t>
  </si>
  <si>
    <t xml:space="preserve">Metro 6R4</t>
  </si>
  <si>
    <t xml:space="preserve">MINI</t>
  </si>
  <si>
    <t xml:space="preserve">Cooper S</t>
  </si>
  <si>
    <t xml:space="preserve">John Cooper Works GP</t>
  </si>
  <si>
    <t xml:space="preserve">X-Raid All4 Racing Countryman</t>
  </si>
  <si>
    <t xml:space="preserve">X-Raid John Cooper Works Buggy</t>
  </si>
  <si>
    <t xml:space="preserve">Mitsubishi</t>
  </si>
  <si>
    <t xml:space="preserve">#1 Sierra Sierra Enterprises Lancer Evolution Time Attack</t>
  </si>
  <si>
    <t xml:space="preserve">#269 Attacking the Clock Racing Minicab Time Attack</t>
  </si>
  <si>
    <t xml:space="preserve">Eclipse GSX</t>
  </si>
  <si>
    <t xml:space="preserve">Galant VR-4</t>
  </si>
  <si>
    <t xml:space="preserve">GTO</t>
  </si>
  <si>
    <t xml:space="preserve">Lancer Evolution III GSR</t>
  </si>
  <si>
    <t xml:space="preserve">Lancer Evolution IX MR</t>
  </si>
  <si>
    <t xml:space="preserve">Modern Rally</t>
  </si>
  <si>
    <t xml:space="preserve">Lancer Evolution VI GSR TM Edition</t>
  </si>
  <si>
    <t xml:space="preserve">Lancer Evolution VIII MR</t>
  </si>
  <si>
    <t xml:space="preserve">Lancer Evolution VIII MR Welcome Pack</t>
  </si>
  <si>
    <t xml:space="preserve">Lancer Evolution X GSR</t>
  </si>
  <si>
    <t xml:space="preserve">Montero Evolution</t>
  </si>
  <si>
    <t xml:space="preserve">Montero Exceed 2800 TD</t>
  </si>
  <si>
    <t xml:space="preserve">Starion ESI-R</t>
  </si>
  <si>
    <t xml:space="preserve">Nissan</t>
  </si>
  <si>
    <t xml:space="preserve">#11 Tomica Skyline Turbo Super Silhouette</t>
  </si>
  <si>
    <t xml:space="preserve">#12 Skyline GT-R (BNR32 Gr.A) JTC</t>
  </si>
  <si>
    <t xml:space="preserve">#23 Pennzoil Nismo Skyline GT-R</t>
  </si>
  <si>
    <t xml:space="preserve">#32 Skyline WTAC 'Xtreme GTR'</t>
  </si>
  <si>
    <t xml:space="preserve">#36 Dream Project S15 Silvia WTAC</t>
  </si>
  <si>
    <t xml:space="preserve">240SX</t>
  </si>
  <si>
    <t xml:space="preserve">370Z</t>
  </si>
  <si>
    <t xml:space="preserve">370Z Nismo</t>
  </si>
  <si>
    <t xml:space="preserve">Be-1</t>
  </si>
  <si>
    <t xml:space="preserve">Fairlady Z</t>
  </si>
  <si>
    <t xml:space="preserve">Fairlady Z 432</t>
  </si>
  <si>
    <t xml:space="preserve">Fairlady Z Version S Twin Turbo</t>
  </si>
  <si>
    <t xml:space="preserve">Figaro</t>
  </si>
  <si>
    <t xml:space="preserve">Gloria Gran Turismo</t>
  </si>
  <si>
    <t xml:space="preserve">GT-R</t>
  </si>
  <si>
    <t xml:space="preserve">GT-R Black Edition</t>
  </si>
  <si>
    <t xml:space="preserve">GT-R Black Edition Forza Edition</t>
  </si>
  <si>
    <t xml:space="preserve">GT-R Nismo</t>
  </si>
  <si>
    <t xml:space="preserve">Nismo GT-R LM</t>
  </si>
  <si>
    <t xml:space="preserve">Pao</t>
  </si>
  <si>
    <t xml:space="preserve">Patrol</t>
  </si>
  <si>
    <t xml:space="preserve">Pulsar GTI-R</t>
  </si>
  <si>
    <t xml:space="preserve">R390 GT1</t>
  </si>
  <si>
    <t xml:space="preserve">S-Cargo</t>
  </si>
  <si>
    <t xml:space="preserve">S-Cargo Forza Edition</t>
  </si>
  <si>
    <t xml:space="preserve">Safari Turbo</t>
  </si>
  <si>
    <t xml:space="preserve">Silvia K's</t>
  </si>
  <si>
    <t xml:space="preserve">Silvia K's Aero</t>
  </si>
  <si>
    <t xml:space="preserve">Silvia Spec-R</t>
  </si>
  <si>
    <t xml:space="preserve">Skyline 2000 Turbo RS</t>
  </si>
  <si>
    <t xml:space="preserve">Skyline 2000GT-R</t>
  </si>
  <si>
    <t xml:space="preserve">Skyline GT-R</t>
  </si>
  <si>
    <t xml:space="preserve">Skyline GT-R 40th Anniversary</t>
  </si>
  <si>
    <t xml:space="preserve">Skyline GT-R V Spec II</t>
  </si>
  <si>
    <t xml:space="preserve">Skyline GT-R V-Spec</t>
  </si>
  <si>
    <t xml:space="preserve">Skyline GTS-R</t>
  </si>
  <si>
    <t xml:space="preserve">Skyline H/T 2000GT-R</t>
  </si>
  <si>
    <t xml:space="preserve">Stagea RS Four V</t>
  </si>
  <si>
    <t xml:space="preserve">Z Nismo</t>
  </si>
  <si>
    <t xml:space="preserve">Noble</t>
  </si>
  <si>
    <t xml:space="preserve">M600</t>
  </si>
  <si>
    <t xml:space="preserve">Opel</t>
  </si>
  <si>
    <t xml:space="preserve">Manta 400</t>
  </si>
  <si>
    <t xml:space="preserve">Pagani</t>
  </si>
  <si>
    <t xml:space="preserve">Huayra BC Coupe</t>
  </si>
  <si>
    <t xml:space="preserve">Huayra R</t>
  </si>
  <si>
    <t xml:space="preserve">Zonda Cinque Roadster</t>
  </si>
  <si>
    <t xml:space="preserve">Zonda R</t>
  </si>
  <si>
    <t xml:space="preserve">Peel</t>
  </si>
  <si>
    <t xml:space="preserve">P50</t>
  </si>
  <si>
    <t xml:space="preserve">P50 Trolli Edition</t>
  </si>
  <si>
    <t xml:space="preserve">Penhall</t>
  </si>
  <si>
    <t xml:space="preserve">The Cholla</t>
  </si>
  <si>
    <t xml:space="preserve">Peugeot</t>
  </si>
  <si>
    <t xml:space="preserve">205 Rallye</t>
  </si>
  <si>
    <t xml:space="preserve">France</t>
  </si>
  <si>
    <t xml:space="preserve">205 Turbo 16</t>
  </si>
  <si>
    <t xml:space="preserve">207 Super 2000</t>
  </si>
  <si>
    <t xml:space="preserve">Plymouth</t>
  </si>
  <si>
    <t xml:space="preserve">Barracuda Formula S</t>
  </si>
  <si>
    <t xml:space="preserve">Cuda 426 HEMI</t>
  </si>
  <si>
    <t xml:space="preserve">1958</t>
  </si>
  <si>
    <t xml:space="preserve">Fury</t>
  </si>
  <si>
    <t xml:space="preserve">Polaris</t>
  </si>
  <si>
    <t xml:space="preserve">RZR Pro XP Factory Racing Limited Edition</t>
  </si>
  <si>
    <t xml:space="preserve">RZR Pro XP Ultimate</t>
  </si>
  <si>
    <t xml:space="preserve">Pontiac</t>
  </si>
  <si>
    <t xml:space="preserve">Firebird Trans Am</t>
  </si>
  <si>
    <t xml:space="preserve">Firebird Trans Am GTA</t>
  </si>
  <si>
    <t xml:space="preserve">Porsche</t>
  </si>
  <si>
    <t xml:space="preserve">#185 959 Prodrive Rally Raid</t>
  </si>
  <si>
    <t xml:space="preserve">#203 Porsche AG 961</t>
  </si>
  <si>
    <t xml:space="preserve">#3 917 LH</t>
  </si>
  <si>
    <t xml:space="preserve">#3 917 LH Forza Edition</t>
  </si>
  <si>
    <t xml:space="preserve">#70 Motorsport 935</t>
  </si>
  <si>
    <t xml:space="preserve">718 Cayman GT4 RS</t>
  </si>
  <si>
    <t xml:space="preserve">718 Cayman GTS</t>
  </si>
  <si>
    <t xml:space="preserve">911 Carrera RS</t>
  </si>
  <si>
    <t xml:space="preserve">911 Carrera S</t>
  </si>
  <si>
    <t xml:space="preserve">911 GT1 Strassenversion</t>
  </si>
  <si>
    <t xml:space="preserve">911 GT2</t>
  </si>
  <si>
    <t xml:space="preserve">911 GT2 RS</t>
  </si>
  <si>
    <t xml:space="preserve">911 GT3</t>
  </si>
  <si>
    <t xml:space="preserve">911 GT3 RS</t>
  </si>
  <si>
    <t xml:space="preserve">911 GT3 RS 4.0</t>
  </si>
  <si>
    <t xml:space="preserve">911 Rallye</t>
  </si>
  <si>
    <t xml:space="preserve">911 Turbo 3.3</t>
  </si>
  <si>
    <t xml:space="preserve">911 Turbo S</t>
  </si>
  <si>
    <t xml:space="preserve">911 Turbo S Leichtbau</t>
  </si>
  <si>
    <t xml:space="preserve">918 Spider</t>
  </si>
  <si>
    <t xml:space="preserve">928 GTS</t>
  </si>
  <si>
    <t xml:space="preserve">944 Turbo</t>
  </si>
  <si>
    <t xml:space="preserve">959</t>
  </si>
  <si>
    <t xml:space="preserve">968 Turbo S</t>
  </si>
  <si>
    <t xml:space="preserve">Carrera GT</t>
  </si>
  <si>
    <t xml:space="preserve">Cayenne Turbo</t>
  </si>
  <si>
    <t xml:space="preserve">Cayman GT3 WTAC</t>
  </si>
  <si>
    <t xml:space="preserve">Macan LPR Rally Raid</t>
  </si>
  <si>
    <t xml:space="preserve">Mission R</t>
  </si>
  <si>
    <t xml:space="preserve">Taycan Turbo S</t>
  </si>
  <si>
    <t xml:space="preserve">Radical</t>
  </si>
  <si>
    <t xml:space="preserve">RXC Turbo</t>
  </si>
  <si>
    <t xml:space="preserve">Ram</t>
  </si>
  <si>
    <t xml:space="preserve">1500 TRX</t>
  </si>
  <si>
    <t xml:space="preserve">Reliant</t>
  </si>
  <si>
    <t xml:space="preserve">Supervan III</t>
  </si>
  <si>
    <t xml:space="preserve">Renault</t>
  </si>
  <si>
    <t xml:space="preserve">5 Turbo</t>
  </si>
  <si>
    <t xml:space="preserve">8 Gordini</t>
  </si>
  <si>
    <t xml:space="preserve">Clio Williams</t>
  </si>
  <si>
    <t xml:space="preserve">Megane R.S.</t>
  </si>
  <si>
    <t xml:space="preserve">Mégane R26.R</t>
  </si>
  <si>
    <t xml:space="preserve">Megane RS 250</t>
  </si>
  <si>
    <t xml:space="preserve">Rimac</t>
  </si>
  <si>
    <t xml:space="preserve">Nevera</t>
  </si>
  <si>
    <t xml:space="preserve">Croatia</t>
  </si>
  <si>
    <t xml:space="preserve">Rivian</t>
  </si>
  <si>
    <t xml:space="preserve">R1T</t>
  </si>
  <si>
    <t xml:space="preserve">RJ Anderson</t>
  </si>
  <si>
    <t xml:space="preserve">#37 Polaris RZR Pro 2 Truck</t>
  </si>
  <si>
    <t xml:space="preserve">#37 Polaris RZR Pro 4 Truck</t>
  </si>
  <si>
    <t xml:space="preserve">Saleen</t>
  </si>
  <si>
    <t xml:space="preserve">S7 LM</t>
  </si>
  <si>
    <t xml:space="preserve">Schuppan</t>
  </si>
  <si>
    <t xml:space="preserve">962CR</t>
  </si>
  <si>
    <t xml:space="preserve">Shelby</t>
  </si>
  <si>
    <t xml:space="preserve">Cobra 427 S/C</t>
  </si>
  <si>
    <t xml:space="preserve">Cobra Daytona Coupe</t>
  </si>
  <si>
    <t xml:space="preserve">SIERRA Cars</t>
  </si>
  <si>
    <t xml:space="preserve">#23 Yokohama ALPHA</t>
  </si>
  <si>
    <t xml:space="preserve">700R</t>
  </si>
  <si>
    <t xml:space="preserve">RX3</t>
  </si>
  <si>
    <t xml:space="preserve">SRT</t>
  </si>
  <si>
    <t xml:space="preserve">Viper GTS</t>
  </si>
  <si>
    <t xml:space="preserve">Subaru</t>
  </si>
  <si>
    <t xml:space="preserve">Brat GL</t>
  </si>
  <si>
    <t xml:space="preserve">BRZ</t>
  </si>
  <si>
    <t xml:space="preserve">BRZ Forza Edition</t>
  </si>
  <si>
    <t xml:space="preserve">Impreza 22B STi</t>
  </si>
  <si>
    <t xml:space="preserve">Impreza WRX STI</t>
  </si>
  <si>
    <t xml:space="preserve">Legacy B4 2.0 GT</t>
  </si>
  <si>
    <t xml:space="preserve">Legacy RS</t>
  </si>
  <si>
    <t xml:space="preserve">STI S209</t>
  </si>
  <si>
    <t xml:space="preserve">SVX</t>
  </si>
  <si>
    <t xml:space="preserve">Vivio RX-R</t>
  </si>
  <si>
    <t xml:space="preserve">Vivio RX-R Forza Edition</t>
  </si>
  <si>
    <t xml:space="preserve">WRX</t>
  </si>
  <si>
    <t xml:space="preserve">WRX STI</t>
  </si>
  <si>
    <t xml:space="preserve">WRX STI ARX Supercar</t>
  </si>
  <si>
    <t xml:space="preserve">Toyota</t>
  </si>
  <si>
    <t xml:space="preserve">#1 T100 Baja Truck</t>
  </si>
  <si>
    <t xml:space="preserve">2000GT</t>
  </si>
  <si>
    <t xml:space="preserve">4Runner TRD Pro</t>
  </si>
  <si>
    <t xml:space="preserve">86</t>
  </si>
  <si>
    <t xml:space="preserve">86 Stories</t>
  </si>
  <si>
    <t xml:space="preserve">Altezza RS200 Z EDITION</t>
  </si>
  <si>
    <t xml:space="preserve">Camry TRD</t>
  </si>
  <si>
    <t xml:space="preserve">Celica GT</t>
  </si>
  <si>
    <t xml:space="preserve">Celica GT-Four RC ST185</t>
  </si>
  <si>
    <t xml:space="preserve">Celica GT-Four ST205</t>
  </si>
  <si>
    <t xml:space="preserve">Celica Sport Specialty II</t>
  </si>
  <si>
    <t xml:space="preserve">Chaser 2.5 Tourer V</t>
  </si>
  <si>
    <t xml:space="preserve">Chaser GT Twin Turbo</t>
  </si>
  <si>
    <t xml:space="preserve">Corolla SR5</t>
  </si>
  <si>
    <t xml:space="preserve">Crown Super Deluxe Taxi</t>
  </si>
  <si>
    <t xml:space="preserve">FJ40</t>
  </si>
  <si>
    <t xml:space="preserve">GR Corolla</t>
  </si>
  <si>
    <t xml:space="preserve">GR Supra</t>
  </si>
  <si>
    <t xml:space="preserve">GR Yaris</t>
  </si>
  <si>
    <t xml:space="preserve">GR86</t>
  </si>
  <si>
    <t xml:space="preserve">J&amp;J Motorsport Supra WTAC</t>
  </si>
  <si>
    <t xml:space="preserve">JPN Taxi</t>
  </si>
  <si>
    <t xml:space="preserve">Land Cruiser</t>
  </si>
  <si>
    <t xml:space="preserve">Land Cruiser Arctic Trucks AT37</t>
  </si>
  <si>
    <t xml:space="preserve">MR2 GT</t>
  </si>
  <si>
    <t xml:space="preserve">MR2 SC</t>
  </si>
  <si>
    <t xml:space="preserve">Prius Prime XSE Premium</t>
  </si>
  <si>
    <t xml:space="preserve">Sera</t>
  </si>
  <si>
    <t xml:space="preserve">Soarer 2.5 GT-T</t>
  </si>
  <si>
    <t xml:space="preserve">Sports 800</t>
  </si>
  <si>
    <t xml:space="preserve">Collection Journal, Wheelspin, Seasonal</t>
  </si>
  <si>
    <t xml:space="preserve">Sports 800 Fanta Edition</t>
  </si>
  <si>
    <t xml:space="preserve">Sprinter Trueno GT Apex</t>
  </si>
  <si>
    <t xml:space="preserve">Sprinter Trueno GT Apex Forza Edition</t>
  </si>
  <si>
    <t xml:space="preserve">Starlet Glanza V</t>
  </si>
  <si>
    <t xml:space="preserve">Supra 2.0 GT</t>
  </si>
  <si>
    <t xml:space="preserve">Supra RZ</t>
  </si>
  <si>
    <t xml:space="preserve">Tacoma TRD Pro</t>
  </si>
  <si>
    <t xml:space="preserve">Tacoma TRD Pro Forza Edition</t>
  </si>
  <si>
    <t xml:space="preserve">TVR</t>
  </si>
  <si>
    <t xml:space="preserve">Cerbera Speed 12</t>
  </si>
  <si>
    <t xml:space="preserve">Griffith</t>
  </si>
  <si>
    <t xml:space="preserve">Sagaris</t>
  </si>
  <si>
    <t xml:space="preserve">Ultima</t>
  </si>
  <si>
    <t xml:space="preserve">Evolution Coupe 1020</t>
  </si>
  <si>
    <t xml:space="preserve">Volkswagen</t>
  </si>
  <si>
    <t xml:space="preserve">#34 Andretti Rally Cross Beetle</t>
  </si>
  <si>
    <t xml:space="preserve">Beetle</t>
  </si>
  <si>
    <t xml:space="preserve">Class 5/1600 Baja Bug</t>
  </si>
  <si>
    <t xml:space="preserve">Corrado VR6</t>
  </si>
  <si>
    <t xml:space="preserve">Golf GTI</t>
  </si>
  <si>
    <t xml:space="preserve">Golf Gti 16v Mk 2</t>
  </si>
  <si>
    <t xml:space="preserve">Golf R</t>
  </si>
  <si>
    <t xml:space="preserve">Pickup LX</t>
  </si>
  <si>
    <t xml:space="preserve">Rallye Golf</t>
  </si>
  <si>
    <t xml:space="preserve">Scirocco R</t>
  </si>
  <si>
    <t xml:space="preserve">Type 2 De Luxe</t>
  </si>
  <si>
    <t xml:space="preserve">Volvo</t>
  </si>
  <si>
    <t xml:space="preserve">242 Turbo Evolution</t>
  </si>
  <si>
    <t xml:space="preserve">Wuling</t>
  </si>
  <si>
    <t xml:space="preserve">Hongguang Mini EV</t>
  </si>
  <si>
    <t xml:space="preserve">China</t>
  </si>
  <si>
    <t xml:space="preserve">Sunshine S</t>
  </si>
  <si>
    <t xml:space="preserve">Sunshine S Forza Edition</t>
  </si>
  <si>
    <t xml:space="preserve">Zenvo</t>
  </si>
  <si>
    <t xml:space="preserve">TSR-S</t>
  </si>
  <si>
    <t xml:space="preserve">Denmark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</si>
</sst>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.0"/>
    <numFmt numFmtId="168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6" min="5" style="1" width="8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15"/>
    <col collapsed="false" customWidth="true" hidden="false" outlineLevel="0" max="12" min="12" style="1" width="14"/>
    <col collapsed="false" customWidth="true" hidden="false" outlineLevel="0" max="13" min="13" style="1" width="15"/>
    <col collapsed="false" customWidth="true" hidden="false" outlineLevel="0" max="14" min="14" style="1" width="14"/>
    <col collapsed="false" customWidth="true" hidden="false" outlineLevel="0" max="16" min="15" style="1" width="12"/>
    <col collapsed="false" customWidth="true" hidden="false" outlineLevel="0" max="17" min="17" style="1" width="20"/>
    <col collapsed="false" customWidth="true" hidden="false" outlineLevel="0" max="18" min="18" style="1" width="19"/>
    <col collapsed="false" customWidth="true" hidden="false" outlineLevel="0" max="19" min="19" style="1" width="24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4.25" hidden="false" customHeight="true" outlineLevel="0" collapsed="false">
      <c r="A2" s="3" t="s">
        <v>19</v>
      </c>
      <c r="B2" s="4" t="s">
        <v>20</v>
      </c>
      <c r="C2" s="4" t="s">
        <v>21</v>
      </c>
      <c r="D2" s="4" t="s">
        <v>22</v>
      </c>
      <c r="E2" s="3" t="s">
        <v>23</v>
      </c>
      <c r="F2" s="3" t="n">
        <v>450</v>
      </c>
      <c r="G2" s="4" t="s">
        <v>24</v>
      </c>
      <c r="H2" s="5" t="n">
        <v>250000</v>
      </c>
      <c r="I2" s="3" t="s">
        <v>25</v>
      </c>
      <c r="J2" s="6" t="n">
        <v>165</v>
      </c>
      <c r="K2" s="6" t="n">
        <v>184</v>
      </c>
      <c r="L2" s="7" t="n">
        <f aca="false">K2*1.35582</f>
        <v>249.47088</v>
      </c>
      <c r="M2" s="6" t="n">
        <v>2477</v>
      </c>
      <c r="N2" s="7" t="n">
        <f aca="false">M2*0.453592</f>
        <v>1123.547384</v>
      </c>
      <c r="O2" s="3" t="s">
        <v>26</v>
      </c>
      <c r="P2" s="3" t="s">
        <v>27</v>
      </c>
      <c r="Q2" s="8" t="n">
        <f aca="false">J2/M2</f>
        <v>0.0666128381106177</v>
      </c>
      <c r="R2" s="8" t="n">
        <f aca="false">J2/N2</f>
        <v>0.146856289596416</v>
      </c>
      <c r="S2" s="4" t="s">
        <v>28</v>
      </c>
    </row>
    <row r="3" customFormat="false" ht="14.25" hidden="false" customHeight="true" outlineLevel="0" collapsed="false">
      <c r="A3" s="3" t="s">
        <v>29</v>
      </c>
      <c r="B3" s="4" t="s">
        <v>20</v>
      </c>
      <c r="C3" s="4" t="s">
        <v>30</v>
      </c>
      <c r="D3" s="4" t="s">
        <v>31</v>
      </c>
      <c r="E3" s="3" t="s">
        <v>32</v>
      </c>
      <c r="F3" s="3" t="n">
        <v>100</v>
      </c>
      <c r="G3" s="4" t="s">
        <v>24</v>
      </c>
      <c r="H3" s="5" t="n">
        <v>25000</v>
      </c>
      <c r="I3" s="3" t="s">
        <v>33</v>
      </c>
      <c r="J3" s="6" t="n">
        <v>28</v>
      </c>
      <c r="K3" s="6" t="n">
        <v>34</v>
      </c>
      <c r="L3" s="7" t="n">
        <f aca="false">K3*1.35582</f>
        <v>46.09788</v>
      </c>
      <c r="M3" s="6" t="n">
        <v>1257</v>
      </c>
      <c r="N3" s="7" t="n">
        <f aca="false">M3*0.453592</f>
        <v>570.165144</v>
      </c>
      <c r="O3" s="3" t="s">
        <v>26</v>
      </c>
      <c r="P3" s="3" t="s">
        <v>34</v>
      </c>
      <c r="Q3" s="8" t="n">
        <f aca="false">J3/M3</f>
        <v>0.0222752585521082</v>
      </c>
      <c r="R3" s="8" t="n">
        <f aca="false">J3/N3</f>
        <v>0.0491085789698853</v>
      </c>
      <c r="S3" s="4" t="s">
        <v>35</v>
      </c>
    </row>
    <row r="4" customFormat="false" ht="14.25" hidden="false" customHeight="true" outlineLevel="0" collapsed="false">
      <c r="A4" s="3" t="s">
        <v>36</v>
      </c>
      <c r="B4" s="4" t="s">
        <v>20</v>
      </c>
      <c r="C4" s="4" t="s">
        <v>37</v>
      </c>
      <c r="D4" s="4" t="s">
        <v>38</v>
      </c>
      <c r="E4" s="3" t="s">
        <v>39</v>
      </c>
      <c r="F4" s="3" t="n">
        <v>540</v>
      </c>
      <c r="G4" s="4" t="s">
        <v>24</v>
      </c>
      <c r="H4" s="5" t="n">
        <v>250000</v>
      </c>
      <c r="I4" s="3" t="s">
        <v>33</v>
      </c>
      <c r="J4" s="6" t="n">
        <v>186</v>
      </c>
      <c r="K4" s="6" t="n">
        <v>183</v>
      </c>
      <c r="L4" s="7" t="n">
        <f aca="false">K4*1.35582</f>
        <v>248.11506</v>
      </c>
      <c r="M4" s="6" t="n">
        <v>2198</v>
      </c>
      <c r="N4" s="7" t="n">
        <f aca="false">M4*0.453592</f>
        <v>996.995216</v>
      </c>
      <c r="O4" s="3"/>
      <c r="P4" s="3"/>
      <c r="Q4" s="8" t="n">
        <f aca="false">J4/M4</f>
        <v>0.0846223839854413</v>
      </c>
      <c r="R4" s="8" t="n">
        <f aca="false">J4/N4</f>
        <v>0.186560574228473</v>
      </c>
      <c r="S4" s="4" t="s">
        <v>28</v>
      </c>
    </row>
    <row r="5" customFormat="false" ht="14.25" hidden="false" customHeight="true" outlineLevel="0" collapsed="false">
      <c r="A5" s="3" t="s">
        <v>40</v>
      </c>
      <c r="B5" s="4" t="s">
        <v>20</v>
      </c>
      <c r="C5" s="4" t="s">
        <v>41</v>
      </c>
      <c r="D5" s="4" t="s">
        <v>42</v>
      </c>
      <c r="E5" s="3" t="s">
        <v>32</v>
      </c>
      <c r="F5" s="3" t="n">
        <v>399</v>
      </c>
      <c r="G5" s="4" t="s">
        <v>24</v>
      </c>
      <c r="H5" s="5" t="n">
        <v>125000</v>
      </c>
      <c r="I5" s="3" t="s">
        <v>33</v>
      </c>
      <c r="J5" s="6" t="n">
        <v>140</v>
      </c>
      <c r="K5" s="6" t="n">
        <v>130</v>
      </c>
      <c r="L5" s="7" t="n">
        <f aca="false">K5*1.35582</f>
        <v>176.2566</v>
      </c>
      <c r="M5" s="6" t="n">
        <v>2161</v>
      </c>
      <c r="N5" s="7" t="n">
        <f aca="false">M5*0.453592</f>
        <v>980.212312</v>
      </c>
      <c r="O5" s="3" t="s">
        <v>26</v>
      </c>
      <c r="P5" s="3" t="s">
        <v>27</v>
      </c>
      <c r="Q5" s="8" t="n">
        <f aca="false">J5/M5</f>
        <v>0.0647848218417399</v>
      </c>
      <c r="R5" s="8" t="n">
        <f aca="false">J5/N5</f>
        <v>0.142826200289555</v>
      </c>
      <c r="S5" s="4" t="s">
        <v>35</v>
      </c>
    </row>
    <row r="6" customFormat="false" ht="14.25" hidden="false" customHeight="true" outlineLevel="0" collapsed="false">
      <c r="A6" s="3" t="s">
        <v>43</v>
      </c>
      <c r="B6" s="4" t="s">
        <v>44</v>
      </c>
      <c r="C6" s="4" t="s">
        <v>45</v>
      </c>
      <c r="D6" s="4" t="s">
        <v>38</v>
      </c>
      <c r="E6" s="3" t="s">
        <v>23</v>
      </c>
      <c r="F6" s="3" t="n">
        <v>484</v>
      </c>
      <c r="G6" s="4" t="s">
        <v>46</v>
      </c>
      <c r="H6" s="5" t="n">
        <v>36000</v>
      </c>
      <c r="I6" s="3" t="s">
        <v>25</v>
      </c>
      <c r="J6" s="6" t="n">
        <v>200</v>
      </c>
      <c r="K6" s="6" t="n">
        <v>192</v>
      </c>
      <c r="L6" s="7" t="n">
        <f aca="false">K6*1.35582</f>
        <v>260.31744</v>
      </c>
      <c r="M6" s="6" t="n">
        <v>3073</v>
      </c>
      <c r="N6" s="7" t="n">
        <f aca="false">M6*0.453592</f>
        <v>1393.888216</v>
      </c>
      <c r="O6" s="3" t="s">
        <v>47</v>
      </c>
      <c r="P6" s="3" t="s">
        <v>27</v>
      </c>
      <c r="Q6" s="8" t="n">
        <f aca="false">J6/M6</f>
        <v>0.0650829808005207</v>
      </c>
      <c r="R6" s="8" t="n">
        <f aca="false">J6/N6</f>
        <v>0.14348352881118</v>
      </c>
      <c r="S6" s="4" t="s">
        <v>35</v>
      </c>
    </row>
    <row r="7" customFormat="false" ht="14.25" hidden="false" customHeight="true" outlineLevel="0" collapsed="false">
      <c r="A7" s="3" t="s">
        <v>48</v>
      </c>
      <c r="B7" s="4" t="s">
        <v>44</v>
      </c>
      <c r="C7" s="4" t="s">
        <v>49</v>
      </c>
      <c r="D7" s="4" t="s">
        <v>50</v>
      </c>
      <c r="E7" s="3" t="s">
        <v>23</v>
      </c>
      <c r="F7" s="3" t="n">
        <v>471</v>
      </c>
      <c r="G7" s="4" t="s">
        <v>46</v>
      </c>
      <c r="H7" s="5" t="n">
        <v>65000</v>
      </c>
      <c r="I7" s="3" t="s">
        <v>33</v>
      </c>
      <c r="J7" s="6" t="n">
        <v>195</v>
      </c>
      <c r="K7" s="6" t="n">
        <v>130</v>
      </c>
      <c r="L7" s="7" t="n">
        <f aca="false">K7*1.35582</f>
        <v>176.2566</v>
      </c>
      <c r="M7" s="6" t="n">
        <v>2639</v>
      </c>
      <c r="N7" s="7" t="n">
        <f aca="false">M7*0.453592</f>
        <v>1197.029288</v>
      </c>
      <c r="O7" s="3" t="s">
        <v>47</v>
      </c>
      <c r="P7" s="3" t="s">
        <v>27</v>
      </c>
      <c r="Q7" s="8" t="n">
        <f aca="false">J7/M7</f>
        <v>0.0738916256157636</v>
      </c>
      <c r="R7" s="8" t="n">
        <f aca="false">J7/N7</f>
        <v>0.162903282279589</v>
      </c>
      <c r="S7" s="4" t="s">
        <v>35</v>
      </c>
    </row>
    <row r="8" customFormat="false" ht="14.25" hidden="false" customHeight="true" outlineLevel="0" collapsed="false">
      <c r="A8" s="3" t="s">
        <v>51</v>
      </c>
      <c r="B8" s="4" t="s">
        <v>44</v>
      </c>
      <c r="C8" s="4" t="s">
        <v>52</v>
      </c>
      <c r="D8" s="4" t="s">
        <v>53</v>
      </c>
      <c r="E8" s="3" t="s">
        <v>54</v>
      </c>
      <c r="F8" s="3" t="n">
        <v>734</v>
      </c>
      <c r="G8" s="4" t="s">
        <v>46</v>
      </c>
      <c r="H8" s="5" t="n">
        <v>193000</v>
      </c>
      <c r="I8" s="3" t="s">
        <v>55</v>
      </c>
      <c r="J8" s="6" t="n">
        <v>600</v>
      </c>
      <c r="K8" s="6" t="n">
        <v>492</v>
      </c>
      <c r="L8" s="7" t="n">
        <f aca="false">K8*1.35582</f>
        <v>667.06344</v>
      </c>
      <c r="M8" s="6" t="n">
        <v>3903</v>
      </c>
      <c r="N8" s="7" t="n">
        <f aca="false">M8*0.453592</f>
        <v>1770.369576</v>
      </c>
      <c r="O8" s="3"/>
      <c r="P8" s="3"/>
      <c r="Q8" s="8" t="n">
        <f aca="false">J8/M8</f>
        <v>0.153727901614143</v>
      </c>
      <c r="R8" s="8" t="n">
        <f aca="false">J8/N8</f>
        <v>0.338912285962149</v>
      </c>
      <c r="S8" s="4" t="s">
        <v>28</v>
      </c>
    </row>
    <row r="9" customFormat="false" ht="14.25" hidden="false" customHeight="true" outlineLevel="0" collapsed="false">
      <c r="A9" s="3" t="s">
        <v>56</v>
      </c>
      <c r="B9" s="4" t="s">
        <v>44</v>
      </c>
      <c r="C9" s="4" t="s">
        <v>57</v>
      </c>
      <c r="D9" s="4" t="s">
        <v>50</v>
      </c>
      <c r="E9" s="3" t="s">
        <v>23</v>
      </c>
      <c r="F9" s="3" t="n">
        <v>462</v>
      </c>
      <c r="G9" s="4" t="s">
        <v>46</v>
      </c>
      <c r="H9" s="5" t="n">
        <v>18000</v>
      </c>
      <c r="I9" s="3" t="s">
        <v>33</v>
      </c>
      <c r="J9" s="6" t="n">
        <v>200</v>
      </c>
      <c r="K9" s="6" t="n">
        <v>142</v>
      </c>
      <c r="L9" s="7" t="n">
        <f aca="false">K9*1.35582</f>
        <v>192.52644</v>
      </c>
      <c r="M9" s="6" t="n">
        <v>2820</v>
      </c>
      <c r="N9" s="7" t="n">
        <f aca="false">M9*0.453592</f>
        <v>1279.12944</v>
      </c>
      <c r="O9" s="3" t="s">
        <v>47</v>
      </c>
      <c r="P9" s="3" t="s">
        <v>27</v>
      </c>
      <c r="Q9" s="8" t="n">
        <f aca="false">J9/M9</f>
        <v>0.0709219858156028</v>
      </c>
      <c r="R9" s="8" t="n">
        <f aca="false">J9/N9</f>
        <v>0.156356341857006</v>
      </c>
      <c r="S9" s="4" t="s">
        <v>35</v>
      </c>
    </row>
    <row r="10" customFormat="false" ht="14.25" hidden="false" customHeight="true" outlineLevel="0" collapsed="false">
      <c r="A10" s="3" t="s">
        <v>58</v>
      </c>
      <c r="B10" s="4" t="s">
        <v>59</v>
      </c>
      <c r="C10" s="4" t="s">
        <v>60</v>
      </c>
      <c r="D10" s="4" t="s">
        <v>61</v>
      </c>
      <c r="E10" s="3" t="s">
        <v>23</v>
      </c>
      <c r="F10" s="3" t="n">
        <v>439</v>
      </c>
      <c r="G10" s="4" t="s">
        <v>24</v>
      </c>
      <c r="H10" s="5" t="n">
        <v>30000</v>
      </c>
      <c r="I10" s="3" t="s">
        <v>55</v>
      </c>
      <c r="J10" s="6" t="n">
        <v>187</v>
      </c>
      <c r="K10" s="6" t="n">
        <v>219</v>
      </c>
      <c r="L10" s="7" t="n">
        <f aca="false">K10*1.35582</f>
        <v>296.92458</v>
      </c>
      <c r="M10" s="6" t="n">
        <v>3186</v>
      </c>
      <c r="N10" s="7" t="n">
        <f aca="false">M10*0.453592</f>
        <v>1445.144112</v>
      </c>
      <c r="O10" s="3" t="s">
        <v>62</v>
      </c>
      <c r="P10" s="3" t="s">
        <v>27</v>
      </c>
      <c r="Q10" s="8" t="n">
        <f aca="false">J10/M10</f>
        <v>0.0586942875078468</v>
      </c>
      <c r="R10" s="8" t="n">
        <f aca="false">J10/N10</f>
        <v>0.129398859565087</v>
      </c>
      <c r="S10" s="4" t="s">
        <v>63</v>
      </c>
    </row>
    <row r="11" customFormat="false" ht="14.25" hidden="false" customHeight="true" outlineLevel="0" collapsed="false">
      <c r="A11" s="3" t="s">
        <v>29</v>
      </c>
      <c r="B11" s="4" t="s">
        <v>59</v>
      </c>
      <c r="C11" s="4" t="s">
        <v>64</v>
      </c>
      <c r="D11" s="4" t="s">
        <v>65</v>
      </c>
      <c r="E11" s="3" t="s">
        <v>39</v>
      </c>
      <c r="F11" s="3" t="n">
        <v>593</v>
      </c>
      <c r="G11" s="4" t="s">
        <v>24</v>
      </c>
      <c r="H11" s="5" t="n">
        <v>3500000</v>
      </c>
      <c r="I11" s="3" t="s">
        <v>66</v>
      </c>
      <c r="J11" s="6" t="n">
        <v>245</v>
      </c>
      <c r="K11" s="6" t="n">
        <v>148</v>
      </c>
      <c r="L11" s="7" t="n">
        <f aca="false">K11*1.35582</f>
        <v>200.66136</v>
      </c>
      <c r="M11" s="6" t="n">
        <v>1543</v>
      </c>
      <c r="N11" s="7" t="n">
        <f aca="false">M11*0.453592</f>
        <v>699.892456</v>
      </c>
      <c r="O11" s="3" t="s">
        <v>26</v>
      </c>
      <c r="P11" s="3" t="s">
        <v>67</v>
      </c>
      <c r="Q11" s="8" t="n">
        <f aca="false">J11/M11</f>
        <v>0.158781594296824</v>
      </c>
      <c r="R11" s="8" t="n">
        <f aca="false">J11/N11</f>
        <v>0.350053780262492</v>
      </c>
      <c r="S11" s="4" t="s">
        <v>35</v>
      </c>
    </row>
    <row r="12" customFormat="false" ht="14.25" hidden="false" customHeight="true" outlineLevel="0" collapsed="false">
      <c r="A12" s="3" t="s">
        <v>68</v>
      </c>
      <c r="B12" s="4" t="s">
        <v>59</v>
      </c>
      <c r="C12" s="4" t="s">
        <v>69</v>
      </c>
      <c r="D12" s="4" t="s">
        <v>22</v>
      </c>
      <c r="E12" s="3" t="s">
        <v>70</v>
      </c>
      <c r="F12" s="3" t="n">
        <v>644</v>
      </c>
      <c r="G12" s="4" t="s">
        <v>24</v>
      </c>
      <c r="H12" s="5" t="n">
        <v>73000</v>
      </c>
      <c r="I12" s="3" t="s">
        <v>55</v>
      </c>
      <c r="J12" s="6" t="n">
        <v>240</v>
      </c>
      <c r="K12" s="6" t="n">
        <v>238</v>
      </c>
      <c r="L12" s="7" t="n">
        <f aca="false">K12*1.35582</f>
        <v>322.68516</v>
      </c>
      <c r="M12" s="6" t="n">
        <v>2072</v>
      </c>
      <c r="N12" s="7" t="n">
        <f aca="false">M12*0.453592</f>
        <v>939.842624</v>
      </c>
      <c r="O12" s="3" t="s">
        <v>26</v>
      </c>
      <c r="P12" s="3" t="s">
        <v>67</v>
      </c>
      <c r="Q12" s="8" t="n">
        <f aca="false">J12/M12</f>
        <v>0.115830115830116</v>
      </c>
      <c r="R12" s="8" t="n">
        <f aca="false">J12/N12</f>
        <v>0.255361901951789</v>
      </c>
      <c r="S12" s="4" t="s">
        <v>63</v>
      </c>
    </row>
    <row r="13" customFormat="false" ht="14.25" hidden="false" customHeight="true" outlineLevel="0" collapsed="false">
      <c r="A13" s="3" t="s">
        <v>71</v>
      </c>
      <c r="B13" s="4" t="s">
        <v>59</v>
      </c>
      <c r="C13" s="4" t="s">
        <v>72</v>
      </c>
      <c r="D13" s="4" t="s">
        <v>73</v>
      </c>
      <c r="E13" s="3" t="s">
        <v>70</v>
      </c>
      <c r="F13" s="3" t="n">
        <v>635</v>
      </c>
      <c r="G13" s="4" t="s">
        <v>24</v>
      </c>
      <c r="H13" s="5" t="n">
        <v>312000</v>
      </c>
      <c r="I13" s="3" t="s">
        <v>55</v>
      </c>
      <c r="J13" s="6" t="n">
        <v>450</v>
      </c>
      <c r="K13" s="6" t="n">
        <v>354</v>
      </c>
      <c r="L13" s="7" t="n">
        <f aca="false">K13*1.35582</f>
        <v>479.96028</v>
      </c>
      <c r="M13" s="6" t="n">
        <v>3495</v>
      </c>
      <c r="N13" s="7" t="n">
        <f aca="false">M13*0.453592</f>
        <v>1585.30404</v>
      </c>
      <c r="O13" s="3" t="s">
        <v>26</v>
      </c>
      <c r="P13" s="3" t="s">
        <v>27</v>
      </c>
      <c r="Q13" s="8" t="n">
        <f aca="false">J13/M13</f>
        <v>0.128755364806867</v>
      </c>
      <c r="R13" s="8" t="n">
        <f aca="false">J13/N13</f>
        <v>0.28385722148289</v>
      </c>
      <c r="S13" s="4" t="s">
        <v>35</v>
      </c>
    </row>
    <row r="14" customFormat="false" ht="14.25" hidden="false" customHeight="true" outlineLevel="0" collapsed="false">
      <c r="A14" s="3" t="s">
        <v>29</v>
      </c>
      <c r="B14" s="4" t="s">
        <v>59</v>
      </c>
      <c r="C14" s="4" t="s">
        <v>74</v>
      </c>
      <c r="D14" s="4" t="s">
        <v>65</v>
      </c>
      <c r="E14" s="3" t="s">
        <v>70</v>
      </c>
      <c r="F14" s="3" t="n">
        <v>696</v>
      </c>
      <c r="G14" s="4" t="s">
        <v>24</v>
      </c>
      <c r="H14" s="5"/>
      <c r="I14" s="3"/>
      <c r="J14" s="6" t="n">
        <v>270</v>
      </c>
      <c r="K14" s="6" t="n">
        <v>160</v>
      </c>
      <c r="L14" s="7" t="n">
        <f aca="false">K14*1.35582</f>
        <v>216.9312</v>
      </c>
      <c r="M14" s="6" t="n">
        <v>1529</v>
      </c>
      <c r="N14" s="7" t="n">
        <f aca="false">M14*0.453592</f>
        <v>693.542168</v>
      </c>
      <c r="O14" s="3" t="s">
        <v>26</v>
      </c>
      <c r="P14" s="3" t="s">
        <v>67</v>
      </c>
      <c r="Q14" s="8" t="n">
        <f aca="false">J14/M14</f>
        <v>0.176586003924133</v>
      </c>
      <c r="R14" s="8" t="n">
        <f aca="false">J14/N14</f>
        <v>0.389305816513813</v>
      </c>
      <c r="S14" s="4" t="s">
        <v>75</v>
      </c>
    </row>
    <row r="15" customFormat="false" ht="14.25" hidden="false" customHeight="true" outlineLevel="0" collapsed="false">
      <c r="A15" s="3" t="s">
        <v>76</v>
      </c>
      <c r="B15" s="4" t="s">
        <v>59</v>
      </c>
      <c r="C15" s="4" t="s">
        <v>77</v>
      </c>
      <c r="D15" s="4" t="s">
        <v>78</v>
      </c>
      <c r="E15" s="3" t="s">
        <v>54</v>
      </c>
      <c r="F15" s="3" t="n">
        <v>711</v>
      </c>
      <c r="G15" s="4" t="s">
        <v>24</v>
      </c>
      <c r="H15" s="5" t="n">
        <v>225000</v>
      </c>
      <c r="I15" s="3" t="s">
        <v>25</v>
      </c>
      <c r="J15" s="6" t="n">
        <v>540</v>
      </c>
      <c r="K15" s="6" t="n">
        <v>442</v>
      </c>
      <c r="L15" s="7" t="n">
        <f aca="false">K15*1.35582</f>
        <v>599.27244</v>
      </c>
      <c r="M15" s="6" t="n">
        <v>3483</v>
      </c>
      <c r="N15" s="7" t="n">
        <f aca="false">M15*0.453592</f>
        <v>1579.860936</v>
      </c>
      <c r="O15" s="3" t="s">
        <v>26</v>
      </c>
      <c r="P15" s="3" t="s">
        <v>27</v>
      </c>
      <c r="Q15" s="8" t="n">
        <f aca="false">J15/M15</f>
        <v>0.155038759689922</v>
      </c>
      <c r="R15" s="8" t="n">
        <f aca="false">J15/N15</f>
        <v>0.341802235687407</v>
      </c>
      <c r="S15" s="4" t="s">
        <v>75</v>
      </c>
    </row>
    <row r="16" customFormat="false" ht="14.25" hidden="false" customHeight="true" outlineLevel="0" collapsed="false">
      <c r="A16" s="3" t="s">
        <v>19</v>
      </c>
      <c r="B16" s="4" t="s">
        <v>59</v>
      </c>
      <c r="C16" s="4" t="s">
        <v>79</v>
      </c>
      <c r="D16" s="4" t="s">
        <v>78</v>
      </c>
      <c r="E16" s="3" t="s">
        <v>70</v>
      </c>
      <c r="F16" s="3" t="n">
        <v>667</v>
      </c>
      <c r="G16" s="4" t="s">
        <v>24</v>
      </c>
      <c r="H16" s="5" t="n">
        <v>45000</v>
      </c>
      <c r="I16" s="3" t="s">
        <v>25</v>
      </c>
      <c r="J16" s="6" t="n">
        <v>506</v>
      </c>
      <c r="K16" s="6" t="n">
        <v>442</v>
      </c>
      <c r="L16" s="7" t="n">
        <f aca="false">K16*1.35582</f>
        <v>599.27244</v>
      </c>
      <c r="M16" s="6" t="n">
        <v>3749</v>
      </c>
      <c r="N16" s="7" t="n">
        <f aca="false">M16*0.453592</f>
        <v>1700.516408</v>
      </c>
      <c r="O16" s="3" t="s">
        <v>26</v>
      </c>
      <c r="P16" s="3" t="s">
        <v>27</v>
      </c>
      <c r="Q16" s="8" t="n">
        <f aca="false">J16/M16</f>
        <v>0.134969325153374</v>
      </c>
      <c r="R16" s="8" t="n">
        <f aca="false">J16/N16</f>
        <v>0.297556670208853</v>
      </c>
      <c r="S16" s="4" t="s">
        <v>35</v>
      </c>
    </row>
    <row r="17" customFormat="false" ht="14.25" hidden="false" customHeight="true" outlineLevel="0" collapsed="false">
      <c r="A17" s="3" t="s">
        <v>80</v>
      </c>
      <c r="B17" s="4" t="s">
        <v>59</v>
      </c>
      <c r="C17" s="4" t="s">
        <v>81</v>
      </c>
      <c r="D17" s="4" t="s">
        <v>82</v>
      </c>
      <c r="E17" s="3" t="s">
        <v>32</v>
      </c>
      <c r="F17" s="3" t="n">
        <v>379</v>
      </c>
      <c r="G17" s="4" t="s">
        <v>24</v>
      </c>
      <c r="H17" s="5" t="n">
        <v>343000</v>
      </c>
      <c r="I17" s="3" t="s">
        <v>25</v>
      </c>
      <c r="J17" s="6" t="n">
        <v>115</v>
      </c>
      <c r="K17" s="6" t="n">
        <v>105</v>
      </c>
      <c r="L17" s="7" t="n">
        <f aca="false">K17*1.35582</f>
        <v>142.3611</v>
      </c>
      <c r="M17" s="6" t="n">
        <v>1676</v>
      </c>
      <c r="N17" s="7" t="n">
        <f aca="false">M17*0.453592</f>
        <v>760.220192</v>
      </c>
      <c r="O17" s="3" t="s">
        <v>26</v>
      </c>
      <c r="P17" s="3" t="s">
        <v>27</v>
      </c>
      <c r="Q17" s="8" t="n">
        <f aca="false">J17/M17</f>
        <v>0.0686157517899761</v>
      </c>
      <c r="R17" s="8" t="n">
        <f aca="false">J17/N17</f>
        <v>0.15127196200545</v>
      </c>
      <c r="S17" s="4" t="s">
        <v>35</v>
      </c>
    </row>
    <row r="18" customFormat="false" ht="14.25" hidden="false" customHeight="true" outlineLevel="0" collapsed="false">
      <c r="A18" s="3" t="s">
        <v>80</v>
      </c>
      <c r="B18" s="4" t="s">
        <v>59</v>
      </c>
      <c r="C18" s="4" t="s">
        <v>83</v>
      </c>
      <c r="D18" s="4" t="s">
        <v>65</v>
      </c>
      <c r="E18" s="3" t="s">
        <v>39</v>
      </c>
      <c r="F18" s="3" t="n">
        <v>532</v>
      </c>
      <c r="G18" s="4" t="s">
        <v>24</v>
      </c>
      <c r="H18" s="5"/>
      <c r="I18" s="3"/>
      <c r="J18" s="6" t="n">
        <v>168</v>
      </c>
      <c r="K18" s="6" t="n">
        <v>162</v>
      </c>
      <c r="L18" s="7" t="n">
        <f aca="false">K18*1.35582</f>
        <v>219.64284</v>
      </c>
      <c r="M18" s="6" t="n">
        <v>1367</v>
      </c>
      <c r="N18" s="7" t="n">
        <f aca="false">M18*0.453592</f>
        <v>620.060264</v>
      </c>
      <c r="O18" s="3"/>
      <c r="P18" s="3"/>
      <c r="Q18" s="8" t="n">
        <f aca="false">J18/M18</f>
        <v>0.12289685442575</v>
      </c>
      <c r="R18" s="8" t="n">
        <f aca="false">J18/N18</f>
        <v>0.270941406430779</v>
      </c>
      <c r="S18" s="4" t="s">
        <v>84</v>
      </c>
    </row>
    <row r="19" customFormat="false" ht="14.25" hidden="false" customHeight="true" outlineLevel="0" collapsed="false">
      <c r="A19" s="3" t="s">
        <v>85</v>
      </c>
      <c r="B19" s="4" t="s">
        <v>59</v>
      </c>
      <c r="C19" s="4" t="s">
        <v>86</v>
      </c>
      <c r="D19" s="4" t="s">
        <v>87</v>
      </c>
      <c r="E19" s="3" t="s">
        <v>88</v>
      </c>
      <c r="F19" s="3" t="n">
        <v>978</v>
      </c>
      <c r="G19" s="4" t="s">
        <v>24</v>
      </c>
      <c r="H19" s="5" t="n">
        <v>1000000</v>
      </c>
      <c r="I19" s="3" t="s">
        <v>66</v>
      </c>
      <c r="J19" s="6" t="n">
        <v>680</v>
      </c>
      <c r="K19" s="6" t="n">
        <v>320</v>
      </c>
      <c r="L19" s="7" t="n">
        <f aca="false">K19*1.35582</f>
        <v>433.8624</v>
      </c>
      <c r="M19" s="6" t="n">
        <v>1819</v>
      </c>
      <c r="N19" s="7" t="n">
        <f aca="false">M19*0.453592</f>
        <v>825.083848</v>
      </c>
      <c r="O19" s="3" t="s">
        <v>26</v>
      </c>
      <c r="P19" s="3" t="s">
        <v>67</v>
      </c>
      <c r="Q19" s="8" t="n">
        <f aca="false">J19/M19</f>
        <v>0.373831775700935</v>
      </c>
      <c r="R19" s="8" t="n">
        <f aca="false">J19/N19</f>
        <v>0.824158661750945</v>
      </c>
      <c r="S19" s="4" t="s">
        <v>75</v>
      </c>
    </row>
    <row r="20" customFormat="false" ht="14.25" hidden="false" customHeight="true" outlineLevel="0" collapsed="false">
      <c r="A20" s="3" t="s">
        <v>76</v>
      </c>
      <c r="B20" s="4" t="s">
        <v>89</v>
      </c>
      <c r="C20" s="4" t="s">
        <v>90</v>
      </c>
      <c r="D20" s="4" t="s">
        <v>91</v>
      </c>
      <c r="E20" s="3" t="s">
        <v>39</v>
      </c>
      <c r="F20" s="3" t="n">
        <v>571</v>
      </c>
      <c r="G20" s="4" t="s">
        <v>46</v>
      </c>
      <c r="H20" s="5" t="n">
        <v>160000</v>
      </c>
      <c r="I20" s="3" t="s">
        <v>55</v>
      </c>
      <c r="J20" s="6" t="n">
        <v>495</v>
      </c>
      <c r="K20" s="6" t="n">
        <v>450</v>
      </c>
      <c r="L20" s="7" t="n">
        <f aca="false">K20*1.35582</f>
        <v>610.119</v>
      </c>
      <c r="M20" s="6" t="n">
        <v>3750</v>
      </c>
      <c r="N20" s="7" t="n">
        <f aca="false">M20*0.453592</f>
        <v>1700.97</v>
      </c>
      <c r="O20" s="3" t="s">
        <v>26</v>
      </c>
      <c r="P20" s="3" t="s">
        <v>34</v>
      </c>
      <c r="Q20" s="8" t="n">
        <f aca="false">J20/M20</f>
        <v>0.132</v>
      </c>
      <c r="R20" s="8" t="n">
        <f aca="false">J20/N20</f>
        <v>0.291010423464259</v>
      </c>
      <c r="S20" s="4" t="s">
        <v>35</v>
      </c>
    </row>
    <row r="21" customFormat="false" ht="14.25" hidden="false" customHeight="true" outlineLevel="0" collapsed="false">
      <c r="A21" s="3" t="s">
        <v>51</v>
      </c>
      <c r="B21" s="4" t="s">
        <v>89</v>
      </c>
      <c r="C21" s="4" t="s">
        <v>92</v>
      </c>
      <c r="D21" s="4" t="s">
        <v>93</v>
      </c>
      <c r="E21" s="3" t="s">
        <v>23</v>
      </c>
      <c r="F21" s="3" t="n">
        <v>485</v>
      </c>
      <c r="G21" s="4" t="s">
        <v>46</v>
      </c>
      <c r="H21" s="5" t="n">
        <v>300000</v>
      </c>
      <c r="I21" s="3" t="s">
        <v>55</v>
      </c>
      <c r="J21" s="6" t="n">
        <v>430</v>
      </c>
      <c r="K21" s="6" t="n">
        <v>430</v>
      </c>
      <c r="L21" s="7" t="n">
        <f aca="false">K21*1.35582</f>
        <v>583.0026</v>
      </c>
      <c r="M21" s="6" t="n">
        <v>5750</v>
      </c>
      <c r="N21" s="7" t="n">
        <f aca="false">M21*0.453592</f>
        <v>2608.154</v>
      </c>
      <c r="O21" s="3" t="s">
        <v>26</v>
      </c>
      <c r="P21" s="3" t="s">
        <v>27</v>
      </c>
      <c r="Q21" s="8" t="n">
        <f aca="false">J21/M21</f>
        <v>0.0747826086956522</v>
      </c>
      <c r="R21" s="8" t="n">
        <f aca="false">J21/N21</f>
        <v>0.164867565335483</v>
      </c>
      <c r="S21" s="4" t="s">
        <v>35</v>
      </c>
    </row>
    <row r="22" customFormat="false" ht="14.25" hidden="false" customHeight="true" outlineLevel="0" collapsed="false">
      <c r="A22" s="3" t="s">
        <v>94</v>
      </c>
      <c r="B22" s="4" t="s">
        <v>89</v>
      </c>
      <c r="C22" s="4" t="s">
        <v>95</v>
      </c>
      <c r="D22" s="4" t="s">
        <v>91</v>
      </c>
      <c r="E22" s="3" t="s">
        <v>39</v>
      </c>
      <c r="F22" s="3" t="n">
        <v>532</v>
      </c>
      <c r="G22" s="4" t="s">
        <v>46</v>
      </c>
      <c r="H22" s="5" t="n">
        <v>45000</v>
      </c>
      <c r="I22" s="3" t="s">
        <v>55</v>
      </c>
      <c r="J22" s="6" t="n">
        <v>195</v>
      </c>
      <c r="K22" s="6" t="n">
        <v>190</v>
      </c>
      <c r="L22" s="7" t="n">
        <f aca="false">K22*1.35582</f>
        <v>257.6058</v>
      </c>
      <c r="M22" s="6" t="n">
        <v>2200</v>
      </c>
      <c r="N22" s="7" t="n">
        <f aca="false">M22*0.453592</f>
        <v>997.9024</v>
      </c>
      <c r="O22" s="3" t="s">
        <v>26</v>
      </c>
      <c r="P22" s="3" t="s">
        <v>34</v>
      </c>
      <c r="Q22" s="8" t="n">
        <f aca="false">J22/M22</f>
        <v>0.0886363636363636</v>
      </c>
      <c r="R22" s="8" t="n">
        <f aca="false">J22/N22</f>
        <v>0.195409891789017</v>
      </c>
      <c r="S22" s="4" t="s">
        <v>35</v>
      </c>
    </row>
    <row r="23" customFormat="false" ht="14.25" hidden="false" customHeight="true" outlineLevel="0" collapsed="false">
      <c r="A23" s="3" t="s">
        <v>96</v>
      </c>
      <c r="B23" s="4" t="s">
        <v>97</v>
      </c>
      <c r="C23" s="4" t="s">
        <v>98</v>
      </c>
      <c r="D23" s="4" t="s">
        <v>93</v>
      </c>
      <c r="E23" s="3" t="s">
        <v>70</v>
      </c>
      <c r="F23" s="3" t="n">
        <v>663</v>
      </c>
      <c r="G23" s="4" t="s">
        <v>46</v>
      </c>
      <c r="H23" s="5" t="n">
        <v>850000</v>
      </c>
      <c r="I23" s="3" t="s">
        <v>66</v>
      </c>
      <c r="J23" s="6" t="n">
        <v>965</v>
      </c>
      <c r="K23" s="6" t="n">
        <v>905</v>
      </c>
      <c r="L23" s="7" t="n">
        <f aca="false">K23*1.35582</f>
        <v>1227.0171</v>
      </c>
      <c r="M23" s="6" t="n">
        <v>5071</v>
      </c>
      <c r="N23" s="7" t="n">
        <f aca="false">M23*0.453592</f>
        <v>2300.165032</v>
      </c>
      <c r="O23" s="3" t="s">
        <v>62</v>
      </c>
      <c r="P23" s="3" t="s">
        <v>27</v>
      </c>
      <c r="Q23" s="8" t="n">
        <f aca="false">J23/M23</f>
        <v>0.190297771642674</v>
      </c>
      <c r="R23" s="8" t="n">
        <f aca="false">J23/N23</f>
        <v>0.419535114469995</v>
      </c>
      <c r="S23" s="4" t="s">
        <v>99</v>
      </c>
    </row>
    <row r="24" customFormat="false" ht="14.25" hidden="false" customHeight="true" outlineLevel="0" collapsed="false">
      <c r="A24" s="3" t="s">
        <v>100</v>
      </c>
      <c r="B24" s="4" t="s">
        <v>101</v>
      </c>
      <c r="C24" s="4" t="s">
        <v>102</v>
      </c>
      <c r="D24" s="4" t="s">
        <v>103</v>
      </c>
      <c r="E24" s="3" t="s">
        <v>88</v>
      </c>
      <c r="F24" s="3" t="n">
        <v>916</v>
      </c>
      <c r="G24" s="4" t="s">
        <v>104</v>
      </c>
      <c r="H24" s="5"/>
      <c r="I24" s="3"/>
      <c r="J24" s="6" t="n">
        <v>780</v>
      </c>
      <c r="K24" s="6" t="n">
        <v>560</v>
      </c>
      <c r="L24" s="7" t="n">
        <f aca="false">K24*1.35582</f>
        <v>759.2592</v>
      </c>
      <c r="M24" s="6" t="n">
        <v>2756</v>
      </c>
      <c r="N24" s="7" t="n">
        <f aca="false">M24*0.453592</f>
        <v>1250.099552</v>
      </c>
      <c r="O24" s="3"/>
      <c r="P24" s="3"/>
      <c r="Q24" s="8" t="n">
        <f aca="false">J24/M24</f>
        <v>0.283018867924528</v>
      </c>
      <c r="R24" s="8" t="n">
        <f aca="false">J24/N24</f>
        <v>0.623950307599182</v>
      </c>
      <c r="S24" s="4" t="s">
        <v>105</v>
      </c>
    </row>
    <row r="25" customFormat="false" ht="14.25" hidden="false" customHeight="true" outlineLevel="0" collapsed="false">
      <c r="A25" s="3" t="s">
        <v>106</v>
      </c>
      <c r="B25" s="4" t="s">
        <v>107</v>
      </c>
      <c r="C25" s="4" t="s">
        <v>108</v>
      </c>
      <c r="D25" s="4" t="s">
        <v>103</v>
      </c>
      <c r="E25" s="3" t="s">
        <v>109</v>
      </c>
      <c r="F25" s="3" t="n">
        <v>825</v>
      </c>
      <c r="G25" s="4" t="s">
        <v>110</v>
      </c>
      <c r="H25" s="5" t="n">
        <v>190000</v>
      </c>
      <c r="I25" s="3" t="s">
        <v>55</v>
      </c>
      <c r="J25" s="6" t="n">
        <v>475</v>
      </c>
      <c r="K25" s="6" t="n">
        <v>268</v>
      </c>
      <c r="L25" s="7" t="n">
        <f aca="false">K25*1.35582</f>
        <v>363.35976</v>
      </c>
      <c r="M25" s="6" t="n">
        <v>1433</v>
      </c>
      <c r="N25" s="7" t="n">
        <f aca="false">M25*0.453592</f>
        <v>649.997336</v>
      </c>
      <c r="O25" s="3" t="s">
        <v>26</v>
      </c>
      <c r="P25" s="3" t="s">
        <v>67</v>
      </c>
      <c r="Q25" s="8" t="n">
        <f aca="false">J25/M25</f>
        <v>0.331472435450105</v>
      </c>
      <c r="R25" s="8" t="n">
        <f aca="false">J25/N25</f>
        <v>0.730772225811092</v>
      </c>
      <c r="S25" s="4" t="s">
        <v>35</v>
      </c>
    </row>
    <row r="26" customFormat="false" ht="14.25" hidden="false" customHeight="true" outlineLevel="0" collapsed="false">
      <c r="A26" s="3" t="s">
        <v>36</v>
      </c>
      <c r="B26" s="4" t="s">
        <v>107</v>
      </c>
      <c r="C26" s="4" t="s">
        <v>111</v>
      </c>
      <c r="D26" s="4" t="s">
        <v>91</v>
      </c>
      <c r="E26" s="3" t="s">
        <v>70</v>
      </c>
      <c r="F26" s="3" t="n">
        <v>601</v>
      </c>
      <c r="G26" s="4" t="s">
        <v>110</v>
      </c>
      <c r="H26" s="5" t="n">
        <v>54000</v>
      </c>
      <c r="I26" s="3" t="s">
        <v>25</v>
      </c>
      <c r="J26" s="6" t="n">
        <v>235</v>
      </c>
      <c r="K26" s="6" t="n">
        <v>221</v>
      </c>
      <c r="L26" s="7" t="n">
        <f aca="false">K26*1.35582</f>
        <v>299.63622</v>
      </c>
      <c r="M26" s="6" t="n">
        <v>1477</v>
      </c>
      <c r="N26" s="7" t="n">
        <f aca="false">M26*0.453592</f>
        <v>669.955384</v>
      </c>
      <c r="O26" s="3" t="s">
        <v>26</v>
      </c>
      <c r="P26" s="3" t="s">
        <v>34</v>
      </c>
      <c r="Q26" s="8" t="n">
        <f aca="false">J26/M26</f>
        <v>0.159106296547055</v>
      </c>
      <c r="R26" s="8" t="n">
        <f aca="false">J26/N26</f>
        <v>0.350769626772639</v>
      </c>
      <c r="S26" s="4" t="s">
        <v>112</v>
      </c>
    </row>
    <row r="27" customFormat="false" ht="14.25" hidden="false" customHeight="true" outlineLevel="0" collapsed="false">
      <c r="A27" s="3" t="s">
        <v>19</v>
      </c>
      <c r="B27" s="4" t="s">
        <v>113</v>
      </c>
      <c r="C27" s="4" t="s">
        <v>114</v>
      </c>
      <c r="D27" s="4" t="s">
        <v>115</v>
      </c>
      <c r="E27" s="3" t="s">
        <v>70</v>
      </c>
      <c r="F27" s="3" t="n">
        <v>679</v>
      </c>
      <c r="G27" s="4" t="s">
        <v>110</v>
      </c>
      <c r="H27" s="5" t="n">
        <v>175000</v>
      </c>
      <c r="I27" s="3" t="s">
        <v>55</v>
      </c>
      <c r="J27" s="6" t="n">
        <v>608</v>
      </c>
      <c r="K27" s="6" t="n">
        <v>516</v>
      </c>
      <c r="L27" s="7" t="n">
        <f aca="false">K27*1.35582</f>
        <v>699.60312</v>
      </c>
      <c r="M27" s="6" t="n">
        <v>4134</v>
      </c>
      <c r="N27" s="7" t="n">
        <f aca="false">M27*0.453592</f>
        <v>1875.149328</v>
      </c>
      <c r="O27" s="3" t="s">
        <v>26</v>
      </c>
      <c r="P27" s="3" t="s">
        <v>27</v>
      </c>
      <c r="Q27" s="8" t="n">
        <f aca="false">J27/M27</f>
        <v>0.14707305273343</v>
      </c>
      <c r="R27" s="8" t="n">
        <f aca="false">J27/N27</f>
        <v>0.324240843607096</v>
      </c>
      <c r="S27" s="4" t="s">
        <v>35</v>
      </c>
    </row>
    <row r="28" customFormat="false" ht="14.25" hidden="false" customHeight="true" outlineLevel="0" collapsed="false">
      <c r="A28" s="3" t="s">
        <v>116</v>
      </c>
      <c r="B28" s="4" t="s">
        <v>113</v>
      </c>
      <c r="C28" s="4" t="s">
        <v>117</v>
      </c>
      <c r="D28" s="4" t="s">
        <v>82</v>
      </c>
      <c r="E28" s="3" t="s">
        <v>23</v>
      </c>
      <c r="F28" s="3" t="n">
        <v>416</v>
      </c>
      <c r="G28" s="4" t="s">
        <v>110</v>
      </c>
      <c r="H28" s="5" t="n">
        <v>500000</v>
      </c>
      <c r="I28" s="3" t="s">
        <v>55</v>
      </c>
      <c r="J28" s="6" t="n">
        <v>282</v>
      </c>
      <c r="K28" s="6" t="n">
        <v>282</v>
      </c>
      <c r="L28" s="7" t="n">
        <f aca="false">K28*1.35582</f>
        <v>382.34124</v>
      </c>
      <c r="M28" s="6" t="n">
        <v>3230</v>
      </c>
      <c r="N28" s="7" t="n">
        <f aca="false">M28*0.453592</f>
        <v>1465.10216</v>
      </c>
      <c r="O28" s="3" t="s">
        <v>26</v>
      </c>
      <c r="P28" s="3" t="s">
        <v>27</v>
      </c>
      <c r="Q28" s="8" t="n">
        <f aca="false">J28/M28</f>
        <v>0.0873065015479876</v>
      </c>
      <c r="R28" s="8" t="n">
        <f aca="false">J28/N28</f>
        <v>0.192478045353506</v>
      </c>
      <c r="S28" s="4" t="s">
        <v>63</v>
      </c>
    </row>
    <row r="29" customFormat="false" ht="14.25" hidden="false" customHeight="true" outlineLevel="0" collapsed="false">
      <c r="A29" s="3" t="s">
        <v>118</v>
      </c>
      <c r="B29" s="4" t="s">
        <v>113</v>
      </c>
      <c r="C29" s="4" t="s">
        <v>119</v>
      </c>
      <c r="D29" s="4" t="s">
        <v>120</v>
      </c>
      <c r="E29" s="3" t="s">
        <v>39</v>
      </c>
      <c r="F29" s="3" t="n">
        <v>566</v>
      </c>
      <c r="G29" s="4" t="s">
        <v>110</v>
      </c>
      <c r="H29" s="5" t="n">
        <v>80000</v>
      </c>
      <c r="I29" s="3" t="s">
        <v>25</v>
      </c>
      <c r="J29" s="6" t="n">
        <v>435</v>
      </c>
      <c r="K29" s="6" t="n">
        <v>410</v>
      </c>
      <c r="L29" s="7" t="n">
        <f aca="false">K29*1.35582</f>
        <v>555.8862</v>
      </c>
      <c r="M29" s="6" t="n">
        <v>3968</v>
      </c>
      <c r="N29" s="7" t="n">
        <f aca="false">M29*0.453592</f>
        <v>1799.853056</v>
      </c>
      <c r="O29" s="3" t="s">
        <v>26</v>
      </c>
      <c r="P29" s="3" t="s">
        <v>27</v>
      </c>
      <c r="Q29" s="8" t="n">
        <f aca="false">J29/M29</f>
        <v>0.109627016129032</v>
      </c>
      <c r="R29" s="8" t="n">
        <f aca="false">J29/N29</f>
        <v>0.241686396869945</v>
      </c>
      <c r="S29" s="4" t="s">
        <v>75</v>
      </c>
    </row>
    <row r="30" customFormat="false" ht="14.25" hidden="false" customHeight="true" outlineLevel="0" collapsed="false">
      <c r="A30" s="3" t="s">
        <v>121</v>
      </c>
      <c r="B30" s="4" t="s">
        <v>113</v>
      </c>
      <c r="C30" s="4" t="s">
        <v>122</v>
      </c>
      <c r="D30" s="4" t="s">
        <v>115</v>
      </c>
      <c r="E30" s="3" t="s">
        <v>54</v>
      </c>
      <c r="F30" s="3" t="n">
        <v>736</v>
      </c>
      <c r="G30" s="4" t="s">
        <v>110</v>
      </c>
      <c r="H30" s="5"/>
      <c r="I30" s="3"/>
      <c r="J30" s="6" t="n">
        <v>715</v>
      </c>
      <c r="K30" s="6" t="n">
        <v>663</v>
      </c>
      <c r="L30" s="7" t="n">
        <f aca="false">K30*1.35582</f>
        <v>898.90866</v>
      </c>
      <c r="M30" s="6" t="n">
        <v>3966</v>
      </c>
      <c r="N30" s="7" t="n">
        <f aca="false">M30*0.453592</f>
        <v>1798.945872</v>
      </c>
      <c r="O30" s="3"/>
      <c r="P30" s="3"/>
      <c r="Q30" s="8" t="n">
        <f aca="false">J30/M30</f>
        <v>0.180282400403429</v>
      </c>
      <c r="R30" s="8" t="n">
        <f aca="false">J30/N30</f>
        <v>0.39745498245875</v>
      </c>
      <c r="S30" s="4" t="s">
        <v>105</v>
      </c>
    </row>
    <row r="31" customFormat="false" ht="14.25" hidden="false" customHeight="true" outlineLevel="0" collapsed="false">
      <c r="A31" s="3" t="s">
        <v>76</v>
      </c>
      <c r="B31" s="4" t="s">
        <v>113</v>
      </c>
      <c r="C31" s="4" t="s">
        <v>123</v>
      </c>
      <c r="D31" s="4" t="s">
        <v>124</v>
      </c>
      <c r="E31" s="3" t="s">
        <v>70</v>
      </c>
      <c r="F31" s="3" t="n">
        <v>618</v>
      </c>
      <c r="G31" s="4" t="s">
        <v>110</v>
      </c>
      <c r="H31" s="5" t="n">
        <v>250000</v>
      </c>
      <c r="I31" s="3" t="s">
        <v>25</v>
      </c>
      <c r="J31" s="6" t="n">
        <v>543</v>
      </c>
      <c r="K31" s="6" t="n">
        <v>516</v>
      </c>
      <c r="L31" s="7" t="n">
        <f aca="false">K31*1.35582</f>
        <v>699.60312</v>
      </c>
      <c r="M31" s="6" t="n">
        <v>4949</v>
      </c>
      <c r="N31" s="7" t="n">
        <f aca="false">M31*0.453592</f>
        <v>2244.826808</v>
      </c>
      <c r="O31" s="3"/>
      <c r="P31" s="3"/>
      <c r="Q31" s="8" t="n">
        <f aca="false">J31/M31</f>
        <v>0.109719135178824</v>
      </c>
      <c r="R31" s="8" t="n">
        <f aca="false">J31/N31</f>
        <v>0.24188948477668</v>
      </c>
      <c r="S31" s="4" t="s">
        <v>28</v>
      </c>
    </row>
    <row r="32" customFormat="false" ht="14.25" hidden="false" customHeight="true" outlineLevel="0" collapsed="false">
      <c r="A32" s="3" t="s">
        <v>121</v>
      </c>
      <c r="B32" s="4" t="s">
        <v>113</v>
      </c>
      <c r="C32" s="4" t="s">
        <v>125</v>
      </c>
      <c r="D32" s="4" t="s">
        <v>126</v>
      </c>
      <c r="E32" s="3" t="s">
        <v>88</v>
      </c>
      <c r="F32" s="3" t="n">
        <v>960</v>
      </c>
      <c r="G32" s="4" t="s">
        <v>110</v>
      </c>
      <c r="H32" s="5"/>
      <c r="I32" s="3"/>
      <c r="J32" s="6" t="n">
        <v>1042</v>
      </c>
      <c r="K32" s="6" t="n">
        <v>995</v>
      </c>
      <c r="L32" s="7" t="n">
        <f aca="false">K32*1.35582</f>
        <v>1349.0409</v>
      </c>
      <c r="M32" s="6" t="n">
        <v>3097</v>
      </c>
      <c r="N32" s="7" t="n">
        <f aca="false">M32*0.453592</f>
        <v>1404.774424</v>
      </c>
      <c r="O32" s="3"/>
      <c r="P32" s="3"/>
      <c r="Q32" s="8" t="n">
        <f aca="false">J32/M32</f>
        <v>0.336454633516306</v>
      </c>
      <c r="R32" s="8" t="n">
        <f aca="false">J32/N32</f>
        <v>0.741756101334032</v>
      </c>
      <c r="S32" s="4" t="s">
        <v>105</v>
      </c>
    </row>
    <row r="33" customFormat="false" ht="14.25" hidden="false" customHeight="true" outlineLevel="0" collapsed="false">
      <c r="A33" s="3" t="s">
        <v>43</v>
      </c>
      <c r="B33" s="4" t="s">
        <v>113</v>
      </c>
      <c r="C33" s="4" t="s">
        <v>127</v>
      </c>
      <c r="D33" s="4" t="s">
        <v>126</v>
      </c>
      <c r="E33" s="3" t="s">
        <v>88</v>
      </c>
      <c r="F33" s="3" t="n">
        <v>924</v>
      </c>
      <c r="G33" s="4" t="s">
        <v>110</v>
      </c>
      <c r="H33" s="5" t="n">
        <v>2750000</v>
      </c>
      <c r="I33" s="3" t="s">
        <v>66</v>
      </c>
      <c r="J33" s="6" t="n">
        <v>1140</v>
      </c>
      <c r="K33" s="6" t="n">
        <v>663</v>
      </c>
      <c r="L33" s="7" t="n">
        <f aca="false">K33*1.35582</f>
        <v>898.90866</v>
      </c>
      <c r="M33" s="6" t="n">
        <v>2976</v>
      </c>
      <c r="N33" s="7" t="n">
        <f aca="false">M33*0.453592</f>
        <v>1349.889792</v>
      </c>
      <c r="O33" s="3" t="s">
        <v>26</v>
      </c>
      <c r="P33" s="3" t="s">
        <v>67</v>
      </c>
      <c r="Q33" s="8" t="n">
        <f aca="false">J33/M33</f>
        <v>0.383064516129032</v>
      </c>
      <c r="R33" s="8" t="n">
        <f aca="false">J33/N33</f>
        <v>0.844513386763947</v>
      </c>
      <c r="S33" s="4" t="s">
        <v>35</v>
      </c>
    </row>
    <row r="34" customFormat="false" ht="14.25" hidden="false" customHeight="true" outlineLevel="0" collapsed="false">
      <c r="A34" s="3" t="s">
        <v>51</v>
      </c>
      <c r="B34" s="4" t="s">
        <v>113</v>
      </c>
      <c r="C34" s="4" t="s">
        <v>128</v>
      </c>
      <c r="D34" s="4" t="s">
        <v>103</v>
      </c>
      <c r="E34" s="3" t="s">
        <v>88</v>
      </c>
      <c r="F34" s="3" t="n">
        <v>989</v>
      </c>
      <c r="G34" s="4" t="s">
        <v>110</v>
      </c>
      <c r="H34" s="5" t="n">
        <v>4200000</v>
      </c>
      <c r="I34" s="3" t="s">
        <v>66</v>
      </c>
      <c r="J34" s="6" t="n">
        <v>1000</v>
      </c>
      <c r="K34" s="6" t="n">
        <v>545</v>
      </c>
      <c r="L34" s="7" t="n">
        <f aca="false">K34*1.35582</f>
        <v>738.9219</v>
      </c>
      <c r="M34" s="6" t="n">
        <v>2370</v>
      </c>
      <c r="N34" s="7" t="n">
        <f aca="false">M34*0.453592</f>
        <v>1075.01304</v>
      </c>
      <c r="O34" s="3" t="s">
        <v>26</v>
      </c>
      <c r="P34" s="3" t="s">
        <v>67</v>
      </c>
      <c r="Q34" s="8" t="n">
        <f aca="false">J34/M34</f>
        <v>0.421940928270042</v>
      </c>
      <c r="R34" s="8" t="n">
        <f aca="false">J34/N34</f>
        <v>0.930221274339147</v>
      </c>
      <c r="S34" s="4" t="s">
        <v>112</v>
      </c>
    </row>
    <row r="35" customFormat="false" ht="14.25" hidden="false" customHeight="true" outlineLevel="0" collapsed="false">
      <c r="A35" s="3" t="s">
        <v>121</v>
      </c>
      <c r="B35" s="4" t="s">
        <v>113</v>
      </c>
      <c r="C35" s="4" t="s">
        <v>129</v>
      </c>
      <c r="D35" s="4" t="s">
        <v>73</v>
      </c>
      <c r="E35" s="3" t="s">
        <v>70</v>
      </c>
      <c r="F35" s="3" t="n">
        <v>696</v>
      </c>
      <c r="G35" s="4" t="s">
        <v>110</v>
      </c>
      <c r="H35" s="5" t="n">
        <v>250000</v>
      </c>
      <c r="I35" s="3" t="s">
        <v>55</v>
      </c>
      <c r="J35" s="6" t="n">
        <v>503</v>
      </c>
      <c r="K35" s="6" t="n">
        <v>505</v>
      </c>
      <c r="L35" s="7" t="n">
        <f aca="false">K35*1.35582</f>
        <v>684.6891</v>
      </c>
      <c r="M35" s="6" t="n">
        <v>3497</v>
      </c>
      <c r="N35" s="7" t="n">
        <f aca="false">M35*0.453592</f>
        <v>1586.211224</v>
      </c>
      <c r="O35" s="3" t="s">
        <v>26</v>
      </c>
      <c r="P35" s="3" t="s">
        <v>27</v>
      </c>
      <c r="Q35" s="8" t="n">
        <f aca="false">J35/M35</f>
        <v>0.143837575064341</v>
      </c>
      <c r="R35" s="8" t="n">
        <f aca="false">J35/N35</f>
        <v>0.317107830526863</v>
      </c>
      <c r="S35" s="4" t="s">
        <v>63</v>
      </c>
    </row>
    <row r="36" customFormat="false" ht="14.25" hidden="false" customHeight="true" outlineLevel="0" collapsed="false">
      <c r="A36" s="3" t="s">
        <v>36</v>
      </c>
      <c r="B36" s="4" t="s">
        <v>113</v>
      </c>
      <c r="C36" s="4" t="s">
        <v>130</v>
      </c>
      <c r="D36" s="4" t="s">
        <v>103</v>
      </c>
      <c r="E36" s="3" t="s">
        <v>109</v>
      </c>
      <c r="F36" s="3" t="n">
        <v>884</v>
      </c>
      <c r="G36" s="4" t="s">
        <v>110</v>
      </c>
      <c r="H36" s="5" t="n">
        <v>2300000</v>
      </c>
      <c r="I36" s="3" t="s">
        <v>66</v>
      </c>
      <c r="J36" s="6" t="n">
        <v>820</v>
      </c>
      <c r="K36" s="6" t="n">
        <v>590</v>
      </c>
      <c r="L36" s="7" t="n">
        <f aca="false">K36*1.35582</f>
        <v>799.9338</v>
      </c>
      <c r="M36" s="6" t="n">
        <v>2998</v>
      </c>
      <c r="N36" s="7" t="n">
        <f aca="false">M36*0.453592</f>
        <v>1359.868816</v>
      </c>
      <c r="O36" s="3" t="s">
        <v>26</v>
      </c>
      <c r="P36" s="3" t="s">
        <v>27</v>
      </c>
      <c r="Q36" s="8" t="n">
        <f aca="false">J36/M36</f>
        <v>0.273515677118079</v>
      </c>
      <c r="R36" s="8" t="n">
        <f aca="false">J36/N36</f>
        <v>0.602999341077618</v>
      </c>
      <c r="S36" s="4" t="s">
        <v>131</v>
      </c>
    </row>
    <row r="37" customFormat="false" ht="14.25" hidden="false" customHeight="true" outlineLevel="0" collapsed="false">
      <c r="A37" s="3" t="s">
        <v>19</v>
      </c>
      <c r="B37" s="4" t="s">
        <v>113</v>
      </c>
      <c r="C37" s="4" t="s">
        <v>132</v>
      </c>
      <c r="D37" s="4" t="s">
        <v>103</v>
      </c>
      <c r="E37" s="3" t="s">
        <v>109</v>
      </c>
      <c r="F37" s="3" t="n">
        <v>898</v>
      </c>
      <c r="G37" s="4" t="s">
        <v>110</v>
      </c>
      <c r="H37" s="5" t="n">
        <v>3000000</v>
      </c>
      <c r="I37" s="3" t="s">
        <v>66</v>
      </c>
      <c r="J37" s="6" t="n">
        <v>820</v>
      </c>
      <c r="K37" s="6" t="n">
        <v>590</v>
      </c>
      <c r="L37" s="7" t="n">
        <f aca="false">K37*1.35582</f>
        <v>799.9338</v>
      </c>
      <c r="M37" s="6" t="n">
        <v>2998</v>
      </c>
      <c r="N37" s="7" t="n">
        <f aca="false">M37*0.453592</f>
        <v>1359.868816</v>
      </c>
      <c r="O37" s="3" t="s">
        <v>26</v>
      </c>
      <c r="P37" s="3" t="s">
        <v>27</v>
      </c>
      <c r="Q37" s="8" t="n">
        <f aca="false">J37/M37</f>
        <v>0.273515677118079</v>
      </c>
      <c r="R37" s="8" t="n">
        <f aca="false">J37/N37</f>
        <v>0.602999341077618</v>
      </c>
      <c r="S37" s="4" t="s">
        <v>35</v>
      </c>
    </row>
    <row r="38" customFormat="false" ht="14.25" hidden="false" customHeight="true" outlineLevel="0" collapsed="false">
      <c r="A38" s="3" t="s">
        <v>133</v>
      </c>
      <c r="B38" s="4" t="s">
        <v>134</v>
      </c>
      <c r="C38" s="4" t="s">
        <v>135</v>
      </c>
      <c r="D38" s="4" t="s">
        <v>136</v>
      </c>
      <c r="E38" s="3" t="s">
        <v>54</v>
      </c>
      <c r="F38" s="3" t="n">
        <v>726</v>
      </c>
      <c r="G38" s="4" t="s">
        <v>104</v>
      </c>
      <c r="H38" s="5" t="n">
        <v>750000</v>
      </c>
      <c r="I38" s="3" t="s">
        <v>66</v>
      </c>
      <c r="J38" s="6" t="n">
        <v>469</v>
      </c>
      <c r="K38" s="6" t="n">
        <v>354</v>
      </c>
      <c r="L38" s="7" t="n">
        <f aca="false">K38*1.35582</f>
        <v>479.96028</v>
      </c>
      <c r="M38" s="6" t="n">
        <v>2403</v>
      </c>
      <c r="N38" s="7" t="n">
        <f aca="false">M38*0.453592</f>
        <v>1089.981576</v>
      </c>
      <c r="O38" s="3" t="s">
        <v>62</v>
      </c>
      <c r="P38" s="3" t="s">
        <v>27</v>
      </c>
      <c r="Q38" s="8" t="n">
        <f aca="false">J38/M38</f>
        <v>0.195172700790678</v>
      </c>
      <c r="R38" s="8" t="n">
        <f aca="false">J38/N38</f>
        <v>0.430282502316351</v>
      </c>
      <c r="S38" s="4" t="s">
        <v>35</v>
      </c>
    </row>
    <row r="39" customFormat="false" ht="14.25" hidden="false" customHeight="true" outlineLevel="0" collapsed="false">
      <c r="A39" s="3" t="s">
        <v>43</v>
      </c>
      <c r="B39" s="4" t="s">
        <v>134</v>
      </c>
      <c r="C39" s="4" t="s">
        <v>137</v>
      </c>
      <c r="D39" s="4" t="s">
        <v>53</v>
      </c>
      <c r="E39" s="3" t="s">
        <v>54</v>
      </c>
      <c r="F39" s="3" t="n">
        <v>769</v>
      </c>
      <c r="G39" s="4" t="s">
        <v>104</v>
      </c>
      <c r="H39" s="5" t="n">
        <v>250000</v>
      </c>
      <c r="I39" s="3" t="s">
        <v>55</v>
      </c>
      <c r="J39" s="6" t="n">
        <v>611</v>
      </c>
      <c r="K39" s="6" t="n">
        <v>416</v>
      </c>
      <c r="L39" s="7" t="n">
        <f aca="false">K39*1.35582</f>
        <v>564.02112</v>
      </c>
      <c r="M39" s="6" t="n">
        <v>3516</v>
      </c>
      <c r="N39" s="7" t="n">
        <f aca="false">M39*0.453592</f>
        <v>1594.829472</v>
      </c>
      <c r="O39" s="3" t="s">
        <v>26</v>
      </c>
      <c r="P39" s="3" t="s">
        <v>67</v>
      </c>
      <c r="Q39" s="8" t="n">
        <f aca="false">J39/M39</f>
        <v>0.173777019340159</v>
      </c>
      <c r="R39" s="8" t="n">
        <f aca="false">J39/N39</f>
        <v>0.383113060504064</v>
      </c>
      <c r="S39" s="4" t="s">
        <v>75</v>
      </c>
    </row>
    <row r="40" customFormat="false" ht="14.25" hidden="false" customHeight="true" outlineLevel="0" collapsed="false">
      <c r="A40" s="3" t="s">
        <v>106</v>
      </c>
      <c r="B40" s="4" t="s">
        <v>134</v>
      </c>
      <c r="C40" s="4" t="s">
        <v>138</v>
      </c>
      <c r="D40" s="4" t="s">
        <v>53</v>
      </c>
      <c r="E40" s="3" t="s">
        <v>70</v>
      </c>
      <c r="F40" s="3" t="n">
        <v>694</v>
      </c>
      <c r="G40" s="4" t="s">
        <v>104</v>
      </c>
      <c r="H40" s="5"/>
      <c r="I40" s="3"/>
      <c r="J40" s="6" t="n">
        <v>542</v>
      </c>
      <c r="K40" s="6" t="n">
        <v>398</v>
      </c>
      <c r="L40" s="7" t="n">
        <f aca="false">K40*1.35582</f>
        <v>539.61636</v>
      </c>
      <c r="M40" s="6" t="n">
        <v>3682</v>
      </c>
      <c r="N40" s="7" t="n">
        <f aca="false">M40*0.453592</f>
        <v>1670.125744</v>
      </c>
      <c r="O40" s="3"/>
      <c r="P40" s="3"/>
      <c r="Q40" s="8" t="n">
        <f aca="false">J40/M40</f>
        <v>0.147202607278653</v>
      </c>
      <c r="R40" s="8" t="n">
        <f aca="false">J40/N40</f>
        <v>0.32452646272124</v>
      </c>
      <c r="S40" s="4" t="s">
        <v>84</v>
      </c>
    </row>
    <row r="41" customFormat="false" ht="14.25" hidden="false" customHeight="true" outlineLevel="0" collapsed="false">
      <c r="A41" s="3" t="s">
        <v>139</v>
      </c>
      <c r="B41" s="4" t="s">
        <v>134</v>
      </c>
      <c r="C41" s="4" t="s">
        <v>140</v>
      </c>
      <c r="D41" s="4" t="s">
        <v>103</v>
      </c>
      <c r="E41" s="3" t="s">
        <v>109</v>
      </c>
      <c r="F41" s="3" t="n">
        <v>810</v>
      </c>
      <c r="G41" s="4" t="s">
        <v>104</v>
      </c>
      <c r="H41" s="5" t="n">
        <v>900000</v>
      </c>
      <c r="I41" s="3" t="s">
        <v>25</v>
      </c>
      <c r="J41" s="6" t="n">
        <v>643</v>
      </c>
      <c r="K41" s="6" t="n">
        <v>375</v>
      </c>
      <c r="L41" s="7" t="n">
        <f aca="false">K41*1.35582</f>
        <v>508.4325</v>
      </c>
      <c r="M41" s="6" t="n">
        <v>3064</v>
      </c>
      <c r="N41" s="7" t="n">
        <f aca="false">M41*0.453592</f>
        <v>1389.805888</v>
      </c>
      <c r="O41" s="3" t="s">
        <v>26</v>
      </c>
      <c r="P41" s="3" t="s">
        <v>67</v>
      </c>
      <c r="Q41" s="8" t="n">
        <f aca="false">J41/M41</f>
        <v>0.209856396866841</v>
      </c>
      <c r="R41" s="8" t="n">
        <f aca="false">J41/N41</f>
        <v>0.462654537264415</v>
      </c>
      <c r="S41" s="4" t="s">
        <v>35</v>
      </c>
    </row>
    <row r="42" customFormat="false" ht="14.25" hidden="false" customHeight="true" outlineLevel="0" collapsed="false">
      <c r="A42" s="3" t="s">
        <v>141</v>
      </c>
      <c r="B42" s="4" t="s">
        <v>134</v>
      </c>
      <c r="C42" s="4" t="s">
        <v>142</v>
      </c>
      <c r="D42" s="4" t="s">
        <v>53</v>
      </c>
      <c r="E42" s="3" t="s">
        <v>54</v>
      </c>
      <c r="F42" s="3" t="n">
        <v>738</v>
      </c>
      <c r="G42" s="4" t="s">
        <v>104</v>
      </c>
      <c r="H42" s="5" t="n">
        <v>281000</v>
      </c>
      <c r="I42" s="3" t="s">
        <v>25</v>
      </c>
      <c r="J42" s="6" t="n">
        <v>602</v>
      </c>
      <c r="K42" s="6" t="n">
        <v>413</v>
      </c>
      <c r="L42" s="7" t="n">
        <f aca="false">K42*1.35582</f>
        <v>559.95366</v>
      </c>
      <c r="M42" s="6" t="n">
        <v>3638</v>
      </c>
      <c r="N42" s="7" t="n">
        <f aca="false">M42*0.453592</f>
        <v>1650.167696</v>
      </c>
      <c r="O42" s="3" t="s">
        <v>62</v>
      </c>
      <c r="P42" s="3" t="s">
        <v>67</v>
      </c>
      <c r="Q42" s="8" t="n">
        <f aca="false">J42/M42</f>
        <v>0.165475536008796</v>
      </c>
      <c r="R42" s="8" t="n">
        <f aca="false">J42/N42</f>
        <v>0.364811407627992</v>
      </c>
      <c r="S42" s="4" t="s">
        <v>35</v>
      </c>
    </row>
    <row r="43" customFormat="false" ht="14.25" hidden="false" customHeight="true" outlineLevel="0" collapsed="false">
      <c r="A43" s="3" t="s">
        <v>36</v>
      </c>
      <c r="B43" s="4" t="s">
        <v>134</v>
      </c>
      <c r="C43" s="4" t="s">
        <v>143</v>
      </c>
      <c r="D43" s="4" t="s">
        <v>53</v>
      </c>
      <c r="E43" s="3" t="s">
        <v>54</v>
      </c>
      <c r="F43" s="3" t="n">
        <v>731</v>
      </c>
      <c r="G43" s="4" t="s">
        <v>104</v>
      </c>
      <c r="H43" s="5" t="n">
        <v>160000</v>
      </c>
      <c r="I43" s="3" t="s">
        <v>55</v>
      </c>
      <c r="J43" s="6" t="n">
        <v>602</v>
      </c>
      <c r="K43" s="6" t="n">
        <v>413</v>
      </c>
      <c r="L43" s="7" t="n">
        <f aca="false">K43*1.35582</f>
        <v>559.95366</v>
      </c>
      <c r="M43" s="6" t="n">
        <v>3428</v>
      </c>
      <c r="N43" s="7" t="n">
        <f aca="false">M43*0.453592</f>
        <v>1554.913376</v>
      </c>
      <c r="O43" s="3" t="s">
        <v>62</v>
      </c>
      <c r="P43" s="3" t="s">
        <v>67</v>
      </c>
      <c r="Q43" s="8" t="n">
        <f aca="false">J43/M43</f>
        <v>0.17561260210035</v>
      </c>
      <c r="R43" s="8" t="n">
        <f aca="false">J43/N43</f>
        <v>0.387159831082449</v>
      </c>
      <c r="S43" s="4" t="s">
        <v>35</v>
      </c>
    </row>
    <row r="44" customFormat="false" ht="14.25" hidden="false" customHeight="true" outlineLevel="0" collapsed="false">
      <c r="A44" s="3" t="s">
        <v>141</v>
      </c>
      <c r="B44" s="4" t="s">
        <v>134</v>
      </c>
      <c r="C44" s="4" t="s">
        <v>144</v>
      </c>
      <c r="D44" s="4" t="s">
        <v>78</v>
      </c>
      <c r="E44" s="3" t="s">
        <v>70</v>
      </c>
      <c r="F44" s="3" t="n">
        <v>617</v>
      </c>
      <c r="G44" s="4" t="s">
        <v>104</v>
      </c>
      <c r="H44" s="5" t="n">
        <v>52000</v>
      </c>
      <c r="I44" s="3" t="s">
        <v>25</v>
      </c>
      <c r="J44" s="6" t="n">
        <v>394</v>
      </c>
      <c r="K44" s="6" t="n">
        <v>354</v>
      </c>
      <c r="L44" s="7" t="n">
        <f aca="false">K44*1.35582</f>
        <v>479.96028</v>
      </c>
      <c r="M44" s="6" t="n">
        <v>3593</v>
      </c>
      <c r="N44" s="7" t="n">
        <f aca="false">M44*0.453592</f>
        <v>1629.756056</v>
      </c>
      <c r="O44" s="3" t="s">
        <v>62</v>
      </c>
      <c r="P44" s="3" t="s">
        <v>27</v>
      </c>
      <c r="Q44" s="8" t="n">
        <f aca="false">J44/M44</f>
        <v>0.10965766768717</v>
      </c>
      <c r="R44" s="8" t="n">
        <f aca="false">J44/N44</f>
        <v>0.241753972043531</v>
      </c>
      <c r="S44" s="4" t="s">
        <v>35</v>
      </c>
    </row>
    <row r="45" customFormat="false" ht="14.25" hidden="false" customHeight="true" outlineLevel="0" collapsed="false">
      <c r="A45" s="3" t="s">
        <v>145</v>
      </c>
      <c r="B45" s="4" t="s">
        <v>134</v>
      </c>
      <c r="C45" s="4" t="s">
        <v>146</v>
      </c>
      <c r="D45" s="4" t="s">
        <v>147</v>
      </c>
      <c r="E45" s="3" t="s">
        <v>39</v>
      </c>
      <c r="F45" s="3" t="n">
        <v>565</v>
      </c>
      <c r="G45" s="4" t="s">
        <v>104</v>
      </c>
      <c r="H45" s="5" t="n">
        <v>20000</v>
      </c>
      <c r="I45" s="3" t="s">
        <v>33</v>
      </c>
      <c r="J45" s="6" t="n">
        <v>335</v>
      </c>
      <c r="K45" s="6" t="n">
        <v>332</v>
      </c>
      <c r="L45" s="7" t="n">
        <f aca="false">K45*1.35582</f>
        <v>450.13224</v>
      </c>
      <c r="M45" s="6" t="n">
        <v>3472</v>
      </c>
      <c r="N45" s="7" t="n">
        <f aca="false">M45*0.453592</f>
        <v>1574.871424</v>
      </c>
      <c r="O45" s="3" t="s">
        <v>62</v>
      </c>
      <c r="P45" s="3" t="s">
        <v>27</v>
      </c>
      <c r="Q45" s="8" t="n">
        <f aca="false">J45/M45</f>
        <v>0.0964861751152074</v>
      </c>
      <c r="R45" s="8" t="n">
        <f aca="false">J45/N45</f>
        <v>0.212715777869115</v>
      </c>
      <c r="S45" s="4" t="s">
        <v>35</v>
      </c>
    </row>
    <row r="46" customFormat="false" ht="14.25" hidden="false" customHeight="true" outlineLevel="0" collapsed="false">
      <c r="A46" s="3" t="s">
        <v>148</v>
      </c>
      <c r="B46" s="4" t="s">
        <v>134</v>
      </c>
      <c r="C46" s="4" t="s">
        <v>149</v>
      </c>
      <c r="D46" s="4" t="s">
        <v>78</v>
      </c>
      <c r="E46" s="3" t="s">
        <v>39</v>
      </c>
      <c r="F46" s="3" t="n">
        <v>593</v>
      </c>
      <c r="G46" s="4" t="s">
        <v>104</v>
      </c>
      <c r="H46" s="5" t="n">
        <v>75000</v>
      </c>
      <c r="I46" s="3" t="s">
        <v>25</v>
      </c>
      <c r="J46" s="6" t="n">
        <v>420</v>
      </c>
      <c r="K46" s="6" t="n">
        <v>317</v>
      </c>
      <c r="L46" s="7" t="n">
        <f aca="false">K46*1.35582</f>
        <v>429.79494</v>
      </c>
      <c r="M46" s="6" t="n">
        <v>3638</v>
      </c>
      <c r="N46" s="7" t="n">
        <f aca="false">M46*0.453592</f>
        <v>1650.167696</v>
      </c>
      <c r="O46" s="3" t="s">
        <v>62</v>
      </c>
      <c r="P46" s="3" t="s">
        <v>27</v>
      </c>
      <c r="Q46" s="8" t="n">
        <f aca="false">J46/M46</f>
        <v>0.11544804837823</v>
      </c>
      <c r="R46" s="8" t="n">
        <f aca="false">J46/N46</f>
        <v>0.254519586717204</v>
      </c>
      <c r="S46" s="4" t="s">
        <v>35</v>
      </c>
    </row>
    <row r="47" customFormat="false" ht="14.25" hidden="false" customHeight="true" outlineLevel="0" collapsed="false">
      <c r="A47" s="3" t="s">
        <v>48</v>
      </c>
      <c r="B47" s="4" t="s">
        <v>134</v>
      </c>
      <c r="C47" s="4" t="s">
        <v>150</v>
      </c>
      <c r="D47" s="4" t="s">
        <v>61</v>
      </c>
      <c r="E47" s="3" t="s">
        <v>39</v>
      </c>
      <c r="F47" s="3" t="n">
        <v>544</v>
      </c>
      <c r="G47" s="4" t="s">
        <v>104</v>
      </c>
      <c r="H47" s="5" t="n">
        <v>175000</v>
      </c>
      <c r="I47" s="3" t="s">
        <v>33</v>
      </c>
      <c r="J47" s="6" t="n">
        <v>375</v>
      </c>
      <c r="K47" s="6" t="n">
        <v>324</v>
      </c>
      <c r="L47" s="7" t="n">
        <f aca="false">K47*1.35582</f>
        <v>439.28568</v>
      </c>
      <c r="M47" s="6" t="n">
        <v>3571</v>
      </c>
      <c r="N47" s="7" t="n">
        <f aca="false">M47*0.453592</f>
        <v>1619.777032</v>
      </c>
      <c r="O47" s="3" t="s">
        <v>62</v>
      </c>
      <c r="P47" s="3" t="s">
        <v>27</v>
      </c>
      <c r="Q47" s="8" t="n">
        <f aca="false">J47/M47</f>
        <v>0.105012601512181</v>
      </c>
      <c r="R47" s="8" t="n">
        <f aca="false">J47/N47</f>
        <v>0.231513345720783</v>
      </c>
      <c r="S47" s="4" t="s">
        <v>35</v>
      </c>
    </row>
    <row r="48" customFormat="false" ht="14.25" hidden="false" customHeight="true" outlineLevel="0" collapsed="false">
      <c r="A48" s="3" t="s">
        <v>106</v>
      </c>
      <c r="B48" s="4" t="s">
        <v>134</v>
      </c>
      <c r="C48" s="4" t="s">
        <v>150</v>
      </c>
      <c r="D48" s="4" t="s">
        <v>78</v>
      </c>
      <c r="E48" s="3" t="s">
        <v>70</v>
      </c>
      <c r="F48" s="3" t="n">
        <v>607</v>
      </c>
      <c r="G48" s="4" t="s">
        <v>104</v>
      </c>
      <c r="H48" s="5" t="n">
        <v>30000</v>
      </c>
      <c r="I48" s="3" t="s">
        <v>25</v>
      </c>
      <c r="J48" s="6" t="n">
        <v>444</v>
      </c>
      <c r="K48" s="6" t="n">
        <v>317</v>
      </c>
      <c r="L48" s="7" t="n">
        <f aca="false">K48*1.35582</f>
        <v>429.79494</v>
      </c>
      <c r="M48" s="6" t="n">
        <v>3957</v>
      </c>
      <c r="N48" s="7" t="n">
        <f aca="false">M48*0.453592</f>
        <v>1794.863544</v>
      </c>
      <c r="O48" s="3" t="s">
        <v>62</v>
      </c>
      <c r="P48" s="3" t="s">
        <v>27</v>
      </c>
      <c r="Q48" s="8" t="n">
        <f aca="false">J48/M48</f>
        <v>0.112206216830933</v>
      </c>
      <c r="R48" s="8" t="n">
        <f aca="false">J48/N48</f>
        <v>0.24737256572191</v>
      </c>
      <c r="S48" s="4" t="s">
        <v>35</v>
      </c>
    </row>
    <row r="49" customFormat="false" ht="14.25" hidden="false" customHeight="true" outlineLevel="0" collapsed="false">
      <c r="A49" s="3" t="s">
        <v>100</v>
      </c>
      <c r="B49" s="4" t="s">
        <v>134</v>
      </c>
      <c r="C49" s="4" t="s">
        <v>150</v>
      </c>
      <c r="D49" s="4" t="s">
        <v>78</v>
      </c>
      <c r="E49" s="3" t="s">
        <v>70</v>
      </c>
      <c r="F49" s="3" t="n">
        <v>637</v>
      </c>
      <c r="G49" s="4" t="s">
        <v>104</v>
      </c>
      <c r="H49" s="5" t="n">
        <v>50000</v>
      </c>
      <c r="I49" s="3" t="s">
        <v>25</v>
      </c>
      <c r="J49" s="6" t="n">
        <v>444</v>
      </c>
      <c r="K49" s="6" t="n">
        <v>442</v>
      </c>
      <c r="L49" s="7" t="n">
        <f aca="false">K49*1.35582</f>
        <v>599.27244</v>
      </c>
      <c r="M49" s="6" t="n">
        <v>3946</v>
      </c>
      <c r="N49" s="7" t="n">
        <f aca="false">M49*0.453592</f>
        <v>1789.874032</v>
      </c>
      <c r="O49" s="3" t="s">
        <v>62</v>
      </c>
      <c r="P49" s="3" t="s">
        <v>27</v>
      </c>
      <c r="Q49" s="8" t="n">
        <f aca="false">J49/M49</f>
        <v>0.112519006588951</v>
      </c>
      <c r="R49" s="8" t="n">
        <f aca="false">J49/N49</f>
        <v>0.24806214966082</v>
      </c>
      <c r="S49" s="4" t="s">
        <v>35</v>
      </c>
    </row>
    <row r="50" customFormat="false" ht="14.25" hidden="false" customHeight="true" outlineLevel="0" collapsed="false">
      <c r="A50" s="3" t="s">
        <v>145</v>
      </c>
      <c r="B50" s="4" t="s">
        <v>134</v>
      </c>
      <c r="C50" s="4" t="s">
        <v>151</v>
      </c>
      <c r="D50" s="4" t="s">
        <v>78</v>
      </c>
      <c r="E50" s="3" t="s">
        <v>70</v>
      </c>
      <c r="F50" s="3" t="n">
        <v>613</v>
      </c>
      <c r="G50" s="4" t="s">
        <v>104</v>
      </c>
      <c r="H50" s="5" t="n">
        <v>25000</v>
      </c>
      <c r="I50" s="3" t="s">
        <v>25</v>
      </c>
      <c r="J50" s="6" t="n">
        <v>442</v>
      </c>
      <c r="K50" s="6" t="n">
        <v>317</v>
      </c>
      <c r="L50" s="7" t="n">
        <f aca="false">K50*1.35582</f>
        <v>429.79494</v>
      </c>
      <c r="M50" s="6" t="n">
        <v>3830</v>
      </c>
      <c r="N50" s="7" t="n">
        <f aca="false">M50*0.453592</f>
        <v>1737.25736</v>
      </c>
      <c r="O50" s="3" t="s">
        <v>62</v>
      </c>
      <c r="P50" s="3" t="s">
        <v>27</v>
      </c>
      <c r="Q50" s="8" t="n">
        <f aca="false">J50/M50</f>
        <v>0.115404699738903</v>
      </c>
      <c r="R50" s="8" t="n">
        <f aca="false">J50/N50</f>
        <v>0.254424019248363</v>
      </c>
      <c r="S50" s="4" t="s">
        <v>35</v>
      </c>
    </row>
    <row r="51" customFormat="false" ht="14.25" hidden="false" customHeight="true" outlineLevel="0" collapsed="false">
      <c r="A51" s="3" t="s">
        <v>118</v>
      </c>
      <c r="B51" s="4" t="s">
        <v>134</v>
      </c>
      <c r="C51" s="4" t="s">
        <v>152</v>
      </c>
      <c r="D51" s="4" t="s">
        <v>61</v>
      </c>
      <c r="E51" s="3" t="s">
        <v>39</v>
      </c>
      <c r="F51" s="3" t="n">
        <v>556</v>
      </c>
      <c r="G51" s="4" t="s">
        <v>104</v>
      </c>
      <c r="H51" s="5" t="n">
        <v>35000</v>
      </c>
      <c r="I51" s="3" t="s">
        <v>25</v>
      </c>
      <c r="J51" s="6" t="n">
        <v>450</v>
      </c>
      <c r="K51" s="6" t="n">
        <v>415</v>
      </c>
      <c r="L51" s="7" t="n">
        <f aca="false">K51*1.35582</f>
        <v>562.6653</v>
      </c>
      <c r="M51" s="6" t="n">
        <v>4024</v>
      </c>
      <c r="N51" s="7" t="n">
        <f aca="false">M51*0.453592</f>
        <v>1825.254208</v>
      </c>
      <c r="O51" s="3" t="s">
        <v>62</v>
      </c>
      <c r="P51" s="3" t="s">
        <v>27</v>
      </c>
      <c r="Q51" s="8" t="n">
        <f aca="false">J51/M51</f>
        <v>0.11182902584493</v>
      </c>
      <c r="R51" s="8" t="n">
        <f aca="false">J51/N51</f>
        <v>0.246541001263096</v>
      </c>
      <c r="S51" s="4" t="s">
        <v>35</v>
      </c>
    </row>
    <row r="52" customFormat="false" ht="14.25" hidden="false" customHeight="true" outlineLevel="0" collapsed="false">
      <c r="A52" s="3" t="s">
        <v>139</v>
      </c>
      <c r="B52" s="4" t="s">
        <v>134</v>
      </c>
      <c r="C52" s="4" t="s">
        <v>152</v>
      </c>
      <c r="D52" s="4" t="s">
        <v>78</v>
      </c>
      <c r="E52" s="3" t="s">
        <v>39</v>
      </c>
      <c r="F52" s="3" t="n">
        <v>598</v>
      </c>
      <c r="G52" s="4" t="s">
        <v>104</v>
      </c>
      <c r="H52" s="5" t="n">
        <v>42000</v>
      </c>
      <c r="I52" s="3" t="s">
        <v>55</v>
      </c>
      <c r="J52" s="6" t="n">
        <v>570</v>
      </c>
      <c r="K52" s="6" t="n">
        <v>478</v>
      </c>
      <c r="L52" s="7" t="n">
        <f aca="false">K52*1.35582</f>
        <v>648.08196</v>
      </c>
      <c r="M52" s="6" t="n">
        <v>4376</v>
      </c>
      <c r="N52" s="7" t="n">
        <f aca="false">M52*0.453592</f>
        <v>1984.918592</v>
      </c>
      <c r="O52" s="3" t="s">
        <v>62</v>
      </c>
      <c r="P52" s="3" t="s">
        <v>27</v>
      </c>
      <c r="Q52" s="8" t="n">
        <f aca="false">J52/M52</f>
        <v>0.130255941499086</v>
      </c>
      <c r="R52" s="8" t="n">
        <f aca="false">J52/N52</f>
        <v>0.287165429502914</v>
      </c>
      <c r="S52" s="4" t="s">
        <v>35</v>
      </c>
    </row>
    <row r="53" customFormat="false" ht="14.25" hidden="false" customHeight="true" outlineLevel="0" collapsed="false">
      <c r="A53" s="3" t="s">
        <v>94</v>
      </c>
      <c r="B53" s="4" t="s">
        <v>134</v>
      </c>
      <c r="C53" s="4" t="s">
        <v>153</v>
      </c>
      <c r="D53" s="4" t="s">
        <v>78</v>
      </c>
      <c r="E53" s="3" t="s">
        <v>70</v>
      </c>
      <c r="F53" s="3" t="n">
        <v>640</v>
      </c>
      <c r="G53" s="4" t="s">
        <v>104</v>
      </c>
      <c r="H53" s="5" t="n">
        <v>60000</v>
      </c>
      <c r="I53" s="3" t="s">
        <v>25</v>
      </c>
      <c r="J53" s="6" t="n">
        <v>552</v>
      </c>
      <c r="K53" s="6" t="n">
        <v>516</v>
      </c>
      <c r="L53" s="7" t="n">
        <f aca="false">K53*1.35582</f>
        <v>699.60312</v>
      </c>
      <c r="M53" s="6" t="n">
        <v>4266</v>
      </c>
      <c r="N53" s="7" t="n">
        <f aca="false">M53*0.453592</f>
        <v>1935.023472</v>
      </c>
      <c r="O53" s="3" t="s">
        <v>62</v>
      </c>
      <c r="P53" s="3" t="s">
        <v>27</v>
      </c>
      <c r="Q53" s="8" t="n">
        <f aca="false">J53/M53</f>
        <v>0.129395218002813</v>
      </c>
      <c r="R53" s="8" t="n">
        <f aca="false">J53/N53</f>
        <v>0.285267857464005</v>
      </c>
      <c r="S53" s="4" t="s">
        <v>35</v>
      </c>
    </row>
    <row r="54" customFormat="false" ht="14.25" hidden="false" customHeight="true" outlineLevel="0" collapsed="false">
      <c r="A54" s="3" t="s">
        <v>76</v>
      </c>
      <c r="B54" s="4" t="s">
        <v>134</v>
      </c>
      <c r="C54" s="4" t="s">
        <v>153</v>
      </c>
      <c r="D54" s="4" t="s">
        <v>78</v>
      </c>
      <c r="E54" s="3" t="s">
        <v>70</v>
      </c>
      <c r="F54" s="3" t="n">
        <v>650</v>
      </c>
      <c r="G54" s="4" t="s">
        <v>104</v>
      </c>
      <c r="H54" s="5" t="n">
        <v>83000</v>
      </c>
      <c r="I54" s="3" t="s">
        <v>25</v>
      </c>
      <c r="J54" s="6" t="n">
        <v>591</v>
      </c>
      <c r="K54" s="6" t="n">
        <v>590</v>
      </c>
      <c r="L54" s="7" t="n">
        <f aca="false">K54*1.35582</f>
        <v>799.9338</v>
      </c>
      <c r="M54" s="6" t="n">
        <v>4575</v>
      </c>
      <c r="N54" s="7" t="n">
        <f aca="false">M54*0.453592</f>
        <v>2075.1834</v>
      </c>
      <c r="O54" s="3" t="s">
        <v>62</v>
      </c>
      <c r="P54" s="3" t="s">
        <v>27</v>
      </c>
      <c r="Q54" s="8" t="n">
        <f aca="false">J54/M54</f>
        <v>0.129180327868852</v>
      </c>
      <c r="R54" s="8" t="n">
        <f aca="false">J54/N54</f>
        <v>0.284794105427019</v>
      </c>
      <c r="S54" s="4" t="s">
        <v>35</v>
      </c>
    </row>
    <row r="55" customFormat="false" ht="14.25" hidden="false" customHeight="true" outlineLevel="0" collapsed="false">
      <c r="A55" s="3" t="s">
        <v>106</v>
      </c>
      <c r="B55" s="4" t="s">
        <v>134</v>
      </c>
      <c r="C55" s="4" t="s">
        <v>154</v>
      </c>
      <c r="D55" s="4" t="s">
        <v>78</v>
      </c>
      <c r="E55" s="3" t="s">
        <v>70</v>
      </c>
      <c r="F55" s="3" t="n">
        <v>619</v>
      </c>
      <c r="G55" s="4" t="s">
        <v>104</v>
      </c>
      <c r="H55" s="5" t="n">
        <v>55000</v>
      </c>
      <c r="I55" s="3" t="s">
        <v>55</v>
      </c>
      <c r="J55" s="6" t="n">
        <v>552</v>
      </c>
      <c r="K55" s="6" t="n">
        <v>553</v>
      </c>
      <c r="L55" s="7" t="n">
        <f aca="false">K55*1.35582</f>
        <v>749.76846</v>
      </c>
      <c r="M55" s="6" t="n">
        <v>4310</v>
      </c>
      <c r="N55" s="7" t="n">
        <f aca="false">M55*0.453592</f>
        <v>1954.98152</v>
      </c>
      <c r="O55" s="3" t="s">
        <v>62</v>
      </c>
      <c r="P55" s="3" t="s">
        <v>27</v>
      </c>
      <c r="Q55" s="8" t="n">
        <f aca="false">J55/M55</f>
        <v>0.128074245939675</v>
      </c>
      <c r="R55" s="8" t="n">
        <f aca="false">J55/N55</f>
        <v>0.282355610195231</v>
      </c>
      <c r="S55" s="4" t="s">
        <v>35</v>
      </c>
    </row>
    <row r="56" customFormat="false" ht="14.25" hidden="false" customHeight="true" outlineLevel="0" collapsed="false">
      <c r="A56" s="3" t="s">
        <v>76</v>
      </c>
      <c r="B56" s="4" t="s">
        <v>134</v>
      </c>
      <c r="C56" s="4" t="s">
        <v>154</v>
      </c>
      <c r="D56" s="4" t="s">
        <v>78</v>
      </c>
      <c r="E56" s="3" t="s">
        <v>70</v>
      </c>
      <c r="F56" s="3" t="n">
        <v>655</v>
      </c>
      <c r="G56" s="4" t="s">
        <v>104</v>
      </c>
      <c r="H56" s="5" t="n">
        <v>80000</v>
      </c>
      <c r="I56" s="3" t="s">
        <v>25</v>
      </c>
      <c r="J56" s="6" t="n">
        <v>591</v>
      </c>
      <c r="K56" s="6" t="n">
        <v>590</v>
      </c>
      <c r="L56" s="7" t="n">
        <f aca="false">K56*1.35582</f>
        <v>799.9338</v>
      </c>
      <c r="M56" s="6" t="n">
        <v>4553</v>
      </c>
      <c r="N56" s="7" t="n">
        <f aca="false">M56*0.453592</f>
        <v>2065.204376</v>
      </c>
      <c r="O56" s="3" t="s">
        <v>62</v>
      </c>
      <c r="P56" s="3" t="s">
        <v>27</v>
      </c>
      <c r="Q56" s="8" t="n">
        <f aca="false">J56/M56</f>
        <v>0.129804524489348</v>
      </c>
      <c r="R56" s="8" t="n">
        <f aca="false">J56/N56</f>
        <v>0.286170224539559</v>
      </c>
      <c r="S56" s="4" t="s">
        <v>35</v>
      </c>
    </row>
    <row r="57" customFormat="false" ht="14.25" hidden="false" customHeight="true" outlineLevel="0" collapsed="false">
      <c r="A57" s="3" t="s">
        <v>76</v>
      </c>
      <c r="B57" s="4" t="s">
        <v>134</v>
      </c>
      <c r="C57" s="4" t="s">
        <v>155</v>
      </c>
      <c r="D57" s="4" t="s">
        <v>78</v>
      </c>
      <c r="E57" s="3" t="s">
        <v>70</v>
      </c>
      <c r="F57" s="3" t="n">
        <v>677</v>
      </c>
      <c r="G57" s="4" t="s">
        <v>104</v>
      </c>
      <c r="H57" s="5" t="n">
        <v>95000</v>
      </c>
      <c r="I57" s="3" t="s">
        <v>55</v>
      </c>
      <c r="J57" s="6" t="n">
        <v>637</v>
      </c>
      <c r="K57" s="6" t="n">
        <v>612</v>
      </c>
      <c r="L57" s="7" t="n">
        <f aca="false">K57*1.35582</f>
        <v>829.76184</v>
      </c>
      <c r="M57" s="6" t="n">
        <v>5174</v>
      </c>
      <c r="N57" s="7" t="n">
        <f aca="false">M57*0.453592</f>
        <v>2346.885008</v>
      </c>
      <c r="O57" s="3" t="s">
        <v>62</v>
      </c>
      <c r="P57" s="3" t="s">
        <v>67</v>
      </c>
      <c r="Q57" s="8" t="n">
        <f aca="false">J57/M57</f>
        <v>0.123115577889447</v>
      </c>
      <c r="R57" s="8" t="n">
        <f aca="false">J57/N57</f>
        <v>0.271423609520113</v>
      </c>
      <c r="S57" s="4" t="s">
        <v>35</v>
      </c>
    </row>
    <row r="58" customFormat="false" ht="14.25" hidden="false" customHeight="true" outlineLevel="0" collapsed="false">
      <c r="A58" s="3" t="s">
        <v>94</v>
      </c>
      <c r="B58" s="4" t="s">
        <v>134</v>
      </c>
      <c r="C58" s="4" t="s">
        <v>54</v>
      </c>
      <c r="D58" s="4" t="s">
        <v>38</v>
      </c>
      <c r="E58" s="3" t="s">
        <v>39</v>
      </c>
      <c r="F58" s="3" t="n">
        <v>527</v>
      </c>
      <c r="G58" s="4" t="s">
        <v>104</v>
      </c>
      <c r="H58" s="5" t="n">
        <v>21000</v>
      </c>
      <c r="I58" s="3" t="s">
        <v>33</v>
      </c>
      <c r="J58" s="6" t="n">
        <v>228</v>
      </c>
      <c r="K58" s="6" t="n">
        <v>241</v>
      </c>
      <c r="L58" s="7" t="n">
        <f aca="false">K58*1.35582</f>
        <v>326.75262</v>
      </c>
      <c r="M58" s="6" t="n">
        <v>2899</v>
      </c>
      <c r="N58" s="7" t="n">
        <f aca="false">M58*0.453592</f>
        <v>1314.963208</v>
      </c>
      <c r="O58" s="3" t="s">
        <v>62</v>
      </c>
      <c r="P58" s="3" t="s">
        <v>27</v>
      </c>
      <c r="Q58" s="8" t="n">
        <f aca="false">J58/M58</f>
        <v>0.0786478095895136</v>
      </c>
      <c r="R58" s="8" t="n">
        <f aca="false">J58/N58</f>
        <v>0.173388881615006</v>
      </c>
      <c r="S58" s="4" t="s">
        <v>35</v>
      </c>
    </row>
    <row r="59" customFormat="false" ht="14.25" hidden="false" customHeight="true" outlineLevel="0" collapsed="false">
      <c r="A59" s="3" t="s">
        <v>156</v>
      </c>
      <c r="B59" s="4" t="s">
        <v>134</v>
      </c>
      <c r="C59" s="4" t="s">
        <v>157</v>
      </c>
      <c r="D59" s="4" t="s">
        <v>158</v>
      </c>
      <c r="E59" s="3" t="s">
        <v>39</v>
      </c>
      <c r="F59" s="3" t="n">
        <v>526</v>
      </c>
      <c r="G59" s="4" t="s">
        <v>104</v>
      </c>
      <c r="H59" s="5"/>
      <c r="I59" s="3"/>
      <c r="J59" s="6" t="n">
        <v>306</v>
      </c>
      <c r="K59" s="6" t="n">
        <v>258</v>
      </c>
      <c r="L59" s="7" t="n">
        <f aca="false">K59*1.35582</f>
        <v>349.80156</v>
      </c>
      <c r="M59" s="6" t="n">
        <v>2807</v>
      </c>
      <c r="N59" s="7" t="n">
        <f aca="false">M59*0.453592</f>
        <v>1273.232744</v>
      </c>
      <c r="O59" s="3"/>
      <c r="P59" s="3"/>
      <c r="Q59" s="8" t="n">
        <f aca="false">J59/M59</f>
        <v>0.109013181332383</v>
      </c>
      <c r="R59" s="8" t="n">
        <f aca="false">J59/N59</f>
        <v>0.240333121687295</v>
      </c>
      <c r="S59" s="4" t="s">
        <v>105</v>
      </c>
    </row>
    <row r="60" customFormat="false" ht="14.25" hidden="false" customHeight="true" outlineLevel="0" collapsed="false">
      <c r="A60" s="3" t="s">
        <v>159</v>
      </c>
      <c r="B60" s="4" t="s">
        <v>134</v>
      </c>
      <c r="C60" s="4" t="s">
        <v>160</v>
      </c>
      <c r="D60" s="4" t="s">
        <v>22</v>
      </c>
      <c r="E60" s="3" t="s">
        <v>39</v>
      </c>
      <c r="F60" s="3" t="n">
        <v>593</v>
      </c>
      <c r="G60" s="4" t="s">
        <v>104</v>
      </c>
      <c r="H60" s="5" t="n">
        <v>35000</v>
      </c>
      <c r="I60" s="3" t="s">
        <v>25</v>
      </c>
      <c r="J60" s="6" t="n">
        <v>335</v>
      </c>
      <c r="K60" s="6" t="n">
        <v>332</v>
      </c>
      <c r="L60" s="7" t="n">
        <f aca="false">K60*1.35582</f>
        <v>450.13224</v>
      </c>
      <c r="M60" s="6" t="n">
        <v>3294</v>
      </c>
      <c r="N60" s="7" t="n">
        <f aca="false">M60*0.453592</f>
        <v>1494.132048</v>
      </c>
      <c r="O60" s="3" t="s">
        <v>62</v>
      </c>
      <c r="P60" s="3" t="s">
        <v>27</v>
      </c>
      <c r="Q60" s="8" t="n">
        <f aca="false">J60/M60</f>
        <v>0.101700060716454</v>
      </c>
      <c r="R60" s="8" t="n">
        <f aca="false">J60/N60</f>
        <v>0.224210437389668</v>
      </c>
      <c r="S60" s="4" t="s">
        <v>35</v>
      </c>
    </row>
    <row r="61" customFormat="false" ht="14.25" hidden="false" customHeight="true" outlineLevel="0" collapsed="false">
      <c r="A61" s="3" t="s">
        <v>80</v>
      </c>
      <c r="B61" s="4" t="s">
        <v>161</v>
      </c>
      <c r="C61" s="4" t="s">
        <v>162</v>
      </c>
      <c r="D61" s="4" t="s">
        <v>163</v>
      </c>
      <c r="E61" s="3" t="s">
        <v>32</v>
      </c>
      <c r="F61" s="3" t="n">
        <v>352</v>
      </c>
      <c r="G61" s="4" t="s">
        <v>110</v>
      </c>
      <c r="H61" s="5" t="n">
        <v>75000</v>
      </c>
      <c r="I61" s="3" t="s">
        <v>33</v>
      </c>
      <c r="J61" s="6" t="n">
        <v>147</v>
      </c>
      <c r="K61" s="6" t="n">
        <v>173</v>
      </c>
      <c r="L61" s="7" t="n">
        <f aca="false">K61*1.35582</f>
        <v>234.55686</v>
      </c>
      <c r="M61" s="6" t="n">
        <v>2604</v>
      </c>
      <c r="N61" s="7" t="n">
        <f aca="false">M61*0.453592</f>
        <v>1181.153568</v>
      </c>
      <c r="O61" s="3" t="s">
        <v>26</v>
      </c>
      <c r="P61" s="3" t="s">
        <v>27</v>
      </c>
      <c r="Q61" s="8" t="n">
        <f aca="false">J61/M61</f>
        <v>0.0564516129032258</v>
      </c>
      <c r="R61" s="8" t="n">
        <f aca="false">J61/N61</f>
        <v>0.124454604365213</v>
      </c>
      <c r="S61" s="4" t="s">
        <v>35</v>
      </c>
    </row>
    <row r="62" customFormat="false" ht="14.25" hidden="false" customHeight="true" outlineLevel="0" collapsed="false">
      <c r="A62" s="3" t="s">
        <v>164</v>
      </c>
      <c r="B62" s="4" t="s">
        <v>165</v>
      </c>
      <c r="C62" s="4" t="s">
        <v>166</v>
      </c>
      <c r="D62" s="4" t="s">
        <v>167</v>
      </c>
      <c r="E62" s="3" t="s">
        <v>32</v>
      </c>
      <c r="F62" s="3" t="n">
        <v>342</v>
      </c>
      <c r="G62" s="4" t="s">
        <v>168</v>
      </c>
      <c r="H62" s="5" t="n">
        <v>38000</v>
      </c>
      <c r="I62" s="3" t="s">
        <v>25</v>
      </c>
      <c r="J62" s="6" t="n">
        <v>63</v>
      </c>
      <c r="K62" s="6" t="n">
        <v>63</v>
      </c>
      <c r="L62" s="7" t="n">
        <f aca="false">K62*1.35582</f>
        <v>85.41666</v>
      </c>
      <c r="M62" s="6" t="n">
        <v>1587</v>
      </c>
      <c r="N62" s="7" t="n">
        <f aca="false">M62*0.453592</f>
        <v>719.850504</v>
      </c>
      <c r="O62" s="3" t="s">
        <v>26</v>
      </c>
      <c r="P62" s="3" t="s">
        <v>67</v>
      </c>
      <c r="Q62" s="8" t="n">
        <f aca="false">J62/M62</f>
        <v>0.0396975425330813</v>
      </c>
      <c r="R62" s="8" t="n">
        <f aca="false">J62/N62</f>
        <v>0.0875181716897152</v>
      </c>
      <c r="S62" s="4" t="s">
        <v>35</v>
      </c>
    </row>
    <row r="63" customFormat="false" ht="14.25" hidden="false" customHeight="true" outlineLevel="0" collapsed="false">
      <c r="A63" s="3" t="s">
        <v>68</v>
      </c>
      <c r="B63" s="4" t="s">
        <v>169</v>
      </c>
      <c r="C63" s="4" t="s">
        <v>170</v>
      </c>
      <c r="D63" s="4" t="s">
        <v>171</v>
      </c>
      <c r="E63" s="3" t="s">
        <v>54</v>
      </c>
      <c r="F63" s="3" t="n">
        <v>766</v>
      </c>
      <c r="G63" s="4" t="s">
        <v>110</v>
      </c>
      <c r="H63" s="5" t="n">
        <v>196000</v>
      </c>
      <c r="I63" s="3" t="s">
        <v>55</v>
      </c>
      <c r="J63" s="6" t="n">
        <v>280</v>
      </c>
      <c r="K63" s="6" t="n">
        <v>206</v>
      </c>
      <c r="L63" s="7" t="n">
        <f aca="false">K63*1.35582</f>
        <v>279.29892</v>
      </c>
      <c r="M63" s="6" t="n">
        <v>1354</v>
      </c>
      <c r="N63" s="7" t="n">
        <f aca="false">M63*0.453592</f>
        <v>614.163568</v>
      </c>
      <c r="O63" s="3" t="s">
        <v>26</v>
      </c>
      <c r="P63" s="3" t="s">
        <v>67</v>
      </c>
      <c r="Q63" s="8" t="n">
        <f aca="false">J63/M63</f>
        <v>0.206794682422452</v>
      </c>
      <c r="R63" s="8" t="n">
        <f aca="false">J63/N63</f>
        <v>0.455904606832687</v>
      </c>
      <c r="S63" s="4" t="s">
        <v>35</v>
      </c>
    </row>
    <row r="64" customFormat="false" ht="14.25" hidden="false" customHeight="true" outlineLevel="0" collapsed="false">
      <c r="A64" s="3" t="s">
        <v>36</v>
      </c>
      <c r="B64" s="4" t="s">
        <v>172</v>
      </c>
      <c r="C64" s="4" t="s">
        <v>173</v>
      </c>
      <c r="D64" s="4" t="s">
        <v>124</v>
      </c>
      <c r="E64" s="3" t="s">
        <v>70</v>
      </c>
      <c r="F64" s="3" t="n">
        <v>612</v>
      </c>
      <c r="G64" s="4" t="s">
        <v>110</v>
      </c>
      <c r="H64" s="5"/>
      <c r="I64" s="3"/>
      <c r="J64" s="6" t="n">
        <v>599</v>
      </c>
      <c r="K64" s="6" t="n">
        <v>663</v>
      </c>
      <c r="L64" s="7" t="n">
        <f aca="false">K64*1.35582</f>
        <v>898.90866</v>
      </c>
      <c r="M64" s="6" t="n">
        <v>5340</v>
      </c>
      <c r="N64" s="7" t="n">
        <f aca="false">M64*0.453592</f>
        <v>2422.18128</v>
      </c>
      <c r="O64" s="3"/>
      <c r="P64" s="3"/>
      <c r="Q64" s="8" t="n">
        <f aca="false">J64/M64</f>
        <v>0.112172284644195</v>
      </c>
      <c r="R64" s="8" t="n">
        <f aca="false">J64/N64</f>
        <v>0.247297757994398</v>
      </c>
      <c r="S64" s="4" t="s">
        <v>105</v>
      </c>
    </row>
    <row r="65" customFormat="false" ht="14.25" hidden="false" customHeight="true" outlineLevel="0" collapsed="false">
      <c r="A65" s="3" t="s">
        <v>76</v>
      </c>
      <c r="B65" s="4" t="s">
        <v>172</v>
      </c>
      <c r="C65" s="4" t="s">
        <v>174</v>
      </c>
      <c r="D65" s="4" t="s">
        <v>73</v>
      </c>
      <c r="E65" s="3" t="s">
        <v>70</v>
      </c>
      <c r="F65" s="3" t="n">
        <v>649</v>
      </c>
      <c r="G65" s="4" t="s">
        <v>110</v>
      </c>
      <c r="H65" s="5" t="n">
        <v>170000</v>
      </c>
      <c r="I65" s="3" t="s">
        <v>25</v>
      </c>
      <c r="J65" s="6" t="n">
        <v>626</v>
      </c>
      <c r="K65" s="6" t="n">
        <v>663</v>
      </c>
      <c r="L65" s="7" t="n">
        <f aca="false">K65*1.35582</f>
        <v>898.90866</v>
      </c>
      <c r="M65" s="6" t="n">
        <v>5322</v>
      </c>
      <c r="N65" s="7" t="n">
        <f aca="false">M65*0.453592</f>
        <v>2414.016624</v>
      </c>
      <c r="O65" s="3" t="s">
        <v>62</v>
      </c>
      <c r="P65" s="3" t="s">
        <v>27</v>
      </c>
      <c r="Q65" s="8" t="n">
        <f aca="false">J65/M65</f>
        <v>0.117624953025179</v>
      </c>
      <c r="R65" s="8" t="n">
        <f aca="false">J65/N65</f>
        <v>0.259318843862278</v>
      </c>
      <c r="S65" s="4" t="s">
        <v>112</v>
      </c>
    </row>
    <row r="66" customFormat="false" ht="14.25" hidden="false" customHeight="true" outlineLevel="0" collapsed="false">
      <c r="A66" s="3" t="s">
        <v>175</v>
      </c>
      <c r="B66" s="4" t="s">
        <v>176</v>
      </c>
      <c r="C66" s="4" t="s">
        <v>177</v>
      </c>
      <c r="D66" s="4" t="s">
        <v>163</v>
      </c>
      <c r="E66" s="3" t="s">
        <v>23</v>
      </c>
      <c r="F66" s="3" t="n">
        <v>424</v>
      </c>
      <c r="G66" s="4" t="s">
        <v>104</v>
      </c>
      <c r="H66" s="5" t="n">
        <v>127000</v>
      </c>
      <c r="I66" s="3" t="s">
        <v>66</v>
      </c>
      <c r="J66" s="6" t="n">
        <v>168</v>
      </c>
      <c r="K66" s="6" t="n">
        <v>181</v>
      </c>
      <c r="L66" s="7" t="n">
        <f aca="false">K66*1.35582</f>
        <v>245.40342</v>
      </c>
      <c r="M66" s="6" t="n">
        <v>2381</v>
      </c>
      <c r="N66" s="7" t="n">
        <f aca="false">M66*0.453592</f>
        <v>1080.002552</v>
      </c>
      <c r="O66" s="3" t="s">
        <v>26</v>
      </c>
      <c r="P66" s="3" t="s">
        <v>27</v>
      </c>
      <c r="Q66" s="8" t="n">
        <f aca="false">J66/M66</f>
        <v>0.0705585888282234</v>
      </c>
      <c r="R66" s="8" t="n">
        <f aca="false">J66/N66</f>
        <v>0.155555187984408</v>
      </c>
      <c r="S66" s="4" t="s">
        <v>35</v>
      </c>
    </row>
    <row r="67" customFormat="false" ht="14.25" hidden="false" customHeight="true" outlineLevel="0" collapsed="false">
      <c r="A67" s="3" t="s">
        <v>178</v>
      </c>
      <c r="B67" s="4" t="s">
        <v>176</v>
      </c>
      <c r="C67" s="4" t="s">
        <v>179</v>
      </c>
      <c r="D67" s="4" t="s">
        <v>120</v>
      </c>
      <c r="E67" s="3" t="s">
        <v>23</v>
      </c>
      <c r="F67" s="3" t="n">
        <v>493</v>
      </c>
      <c r="G67" s="4" t="s">
        <v>104</v>
      </c>
      <c r="H67" s="5" t="n">
        <v>135000</v>
      </c>
      <c r="I67" s="3" t="s">
        <v>25</v>
      </c>
      <c r="J67" s="6" t="n">
        <v>372</v>
      </c>
      <c r="K67" s="6" t="n">
        <v>402</v>
      </c>
      <c r="L67" s="7" t="n">
        <f aca="false">K67*1.35582</f>
        <v>545.03964</v>
      </c>
      <c r="M67" s="6" t="n">
        <v>4240</v>
      </c>
      <c r="N67" s="7" t="n">
        <f aca="false">M67*0.453592</f>
        <v>1923.23008</v>
      </c>
      <c r="O67" s="3" t="s">
        <v>26</v>
      </c>
      <c r="P67" s="3" t="s">
        <v>27</v>
      </c>
      <c r="Q67" s="8" t="n">
        <f aca="false">J67/M67</f>
        <v>0.0877358490566038</v>
      </c>
      <c r="R67" s="8" t="n">
        <f aca="false">J67/N67</f>
        <v>0.193424595355747</v>
      </c>
      <c r="S67" s="4" t="s">
        <v>35</v>
      </c>
    </row>
    <row r="68" customFormat="false" ht="14.25" hidden="false" customHeight="true" outlineLevel="0" collapsed="false">
      <c r="A68" s="3" t="s">
        <v>94</v>
      </c>
      <c r="B68" s="4" t="s">
        <v>176</v>
      </c>
      <c r="C68" s="4" t="s">
        <v>180</v>
      </c>
      <c r="D68" s="4" t="s">
        <v>22</v>
      </c>
      <c r="E68" s="3" t="s">
        <v>70</v>
      </c>
      <c r="F68" s="3" t="n">
        <v>665</v>
      </c>
      <c r="G68" s="4" t="s">
        <v>104</v>
      </c>
      <c r="H68" s="5" t="n">
        <v>70000</v>
      </c>
      <c r="I68" s="3" t="s">
        <v>25</v>
      </c>
      <c r="J68" s="6" t="n">
        <v>357</v>
      </c>
      <c r="K68" s="6" t="n">
        <v>420</v>
      </c>
      <c r="L68" s="7" t="n">
        <f aca="false">K68*1.35582</f>
        <v>569.4444</v>
      </c>
      <c r="M68" s="6" t="n">
        <v>3380</v>
      </c>
      <c r="N68" s="7" t="n">
        <f aca="false">M68*0.453592</f>
        <v>1533.14096</v>
      </c>
      <c r="O68" s="3" t="s">
        <v>62</v>
      </c>
      <c r="P68" s="3" t="s">
        <v>67</v>
      </c>
      <c r="Q68" s="8" t="n">
        <f aca="false">J68/M68</f>
        <v>0.105621301775148</v>
      </c>
      <c r="R68" s="8" t="n">
        <f aca="false">J68/N68</f>
        <v>0.232855301185091</v>
      </c>
      <c r="S68" s="4" t="s">
        <v>35</v>
      </c>
    </row>
    <row r="69" customFormat="false" ht="14.25" hidden="false" customHeight="true" outlineLevel="0" collapsed="false">
      <c r="A69" s="3" t="s">
        <v>181</v>
      </c>
      <c r="B69" s="4" t="s">
        <v>176</v>
      </c>
      <c r="C69" s="4" t="s">
        <v>182</v>
      </c>
      <c r="D69" s="4" t="s">
        <v>31</v>
      </c>
      <c r="E69" s="3" t="s">
        <v>32</v>
      </c>
      <c r="F69" s="3" t="n">
        <v>100</v>
      </c>
      <c r="G69" s="4" t="s">
        <v>104</v>
      </c>
      <c r="H69" s="5" t="n">
        <v>84000</v>
      </c>
      <c r="I69" s="3" t="s">
        <v>33</v>
      </c>
      <c r="J69" s="6" t="n">
        <v>13</v>
      </c>
      <c r="K69" s="6" t="n">
        <v>14</v>
      </c>
      <c r="L69" s="7" t="n">
        <f aca="false">K69*1.35582</f>
        <v>18.98148</v>
      </c>
      <c r="M69" s="6" t="n">
        <v>920</v>
      </c>
      <c r="N69" s="7" t="n">
        <f aca="false">M69*0.453592</f>
        <v>417.30464</v>
      </c>
      <c r="O69" s="3" t="s">
        <v>26</v>
      </c>
      <c r="P69" s="3" t="s">
        <v>67</v>
      </c>
      <c r="Q69" s="8" t="n">
        <f aca="false">J69/M69</f>
        <v>0.0141304347826087</v>
      </c>
      <c r="R69" s="8" t="n">
        <f aca="false">J69/N69</f>
        <v>0.0311523015895534</v>
      </c>
      <c r="S69" s="4" t="s">
        <v>35</v>
      </c>
    </row>
    <row r="70" customFormat="false" ht="14.25" hidden="false" customHeight="true" outlineLevel="0" collapsed="false">
      <c r="A70" s="3" t="s">
        <v>51</v>
      </c>
      <c r="B70" s="4" t="s">
        <v>176</v>
      </c>
      <c r="C70" s="4" t="s">
        <v>183</v>
      </c>
      <c r="D70" s="4" t="s">
        <v>124</v>
      </c>
      <c r="E70" s="3" t="s">
        <v>39</v>
      </c>
      <c r="F70" s="3" t="n">
        <v>595</v>
      </c>
      <c r="G70" s="4" t="s">
        <v>104</v>
      </c>
      <c r="H70" s="5" t="n">
        <v>37000</v>
      </c>
      <c r="I70" s="3" t="s">
        <v>25</v>
      </c>
      <c r="J70" s="6" t="n">
        <v>516</v>
      </c>
      <c r="K70" s="6" t="n">
        <v>564</v>
      </c>
      <c r="L70" s="7" t="n">
        <f aca="false">K70*1.35582</f>
        <v>764.68248</v>
      </c>
      <c r="M70" s="6" t="n">
        <v>5534</v>
      </c>
      <c r="N70" s="7" t="n">
        <f aca="false">M70*0.453592</f>
        <v>2510.178128</v>
      </c>
      <c r="O70" s="3" t="s">
        <v>62</v>
      </c>
      <c r="P70" s="3" t="s">
        <v>67</v>
      </c>
      <c r="Q70" s="8" t="n">
        <f aca="false">J70/M70</f>
        <v>0.0932417780990242</v>
      </c>
      <c r="R70" s="8" t="n">
        <f aca="false">J70/N70</f>
        <v>0.205563100978466</v>
      </c>
      <c r="S70" s="4" t="s">
        <v>35</v>
      </c>
    </row>
    <row r="71" customFormat="false" ht="14.25" hidden="false" customHeight="true" outlineLevel="0" collapsed="false">
      <c r="A71" s="3" t="s">
        <v>184</v>
      </c>
      <c r="B71" s="4" t="s">
        <v>176</v>
      </c>
      <c r="C71" s="4" t="s">
        <v>185</v>
      </c>
      <c r="D71" s="4" t="s">
        <v>186</v>
      </c>
      <c r="E71" s="3" t="s">
        <v>39</v>
      </c>
      <c r="F71" s="3" t="n">
        <v>510</v>
      </c>
      <c r="G71" s="4" t="s">
        <v>104</v>
      </c>
      <c r="H71" s="5" t="n">
        <v>600000</v>
      </c>
      <c r="I71" s="3" t="s">
        <v>187</v>
      </c>
      <c r="J71" s="6" t="n">
        <v>277</v>
      </c>
      <c r="K71" s="6" t="n">
        <v>243</v>
      </c>
      <c r="L71" s="7" t="n">
        <f aca="false">K71*1.35582</f>
        <v>329.46426</v>
      </c>
      <c r="M71" s="6" t="n">
        <v>2866</v>
      </c>
      <c r="N71" s="7" t="n">
        <f aca="false">M71*0.453592</f>
        <v>1299.994672</v>
      </c>
      <c r="O71" s="3"/>
      <c r="P71" s="3"/>
      <c r="Q71" s="8" t="n">
        <f aca="false">J71/M71</f>
        <v>0.0966503838101884</v>
      </c>
      <c r="R71" s="8" t="n">
        <f aca="false">J71/N71</f>
        <v>0.213077796368076</v>
      </c>
      <c r="S71" s="4" t="s">
        <v>188</v>
      </c>
    </row>
    <row r="72" customFormat="false" ht="14.25" hidden="false" customHeight="true" outlineLevel="0" collapsed="false">
      <c r="A72" s="3" t="s">
        <v>43</v>
      </c>
      <c r="B72" s="4" t="s">
        <v>176</v>
      </c>
      <c r="C72" s="4" t="s">
        <v>189</v>
      </c>
      <c r="D72" s="4" t="s">
        <v>78</v>
      </c>
      <c r="E72" s="3" t="s">
        <v>70</v>
      </c>
      <c r="F72" s="3" t="n">
        <v>647</v>
      </c>
      <c r="G72" s="4" t="s">
        <v>104</v>
      </c>
      <c r="H72" s="5" t="n">
        <v>67000</v>
      </c>
      <c r="I72" s="3" t="s">
        <v>25</v>
      </c>
      <c r="J72" s="6" t="n">
        <v>453</v>
      </c>
      <c r="K72" s="6" t="n">
        <v>405</v>
      </c>
      <c r="L72" s="7" t="n">
        <f aca="false">K72*1.35582</f>
        <v>549.1071</v>
      </c>
      <c r="M72" s="6" t="n">
        <v>3748</v>
      </c>
      <c r="N72" s="7" t="n">
        <f aca="false">M72*0.453592</f>
        <v>1700.062816</v>
      </c>
      <c r="O72" s="3" t="s">
        <v>26</v>
      </c>
      <c r="P72" s="3" t="s">
        <v>27</v>
      </c>
      <c r="Q72" s="8" t="n">
        <f aca="false">J72/M72</f>
        <v>0.120864461045891</v>
      </c>
      <c r="R72" s="8" t="n">
        <f aca="false">J72/N72</f>
        <v>0.266460742354123</v>
      </c>
      <c r="S72" s="4" t="s">
        <v>35</v>
      </c>
    </row>
    <row r="73" customFormat="false" ht="14.25" hidden="false" customHeight="true" outlineLevel="0" collapsed="false">
      <c r="A73" s="3" t="s">
        <v>141</v>
      </c>
      <c r="B73" s="4" t="s">
        <v>176</v>
      </c>
      <c r="C73" s="4" t="s">
        <v>190</v>
      </c>
      <c r="D73" s="4" t="s">
        <v>78</v>
      </c>
      <c r="E73" s="3" t="s">
        <v>70</v>
      </c>
      <c r="F73" s="3" t="n">
        <v>656</v>
      </c>
      <c r="G73" s="4" t="s">
        <v>104</v>
      </c>
      <c r="H73" s="5" t="n">
        <v>250000</v>
      </c>
      <c r="I73" s="3" t="s">
        <v>55</v>
      </c>
      <c r="J73" s="6" t="n">
        <v>405</v>
      </c>
      <c r="K73" s="6" t="n">
        <v>405</v>
      </c>
      <c r="L73" s="7" t="n">
        <f aca="false">K73*1.35582</f>
        <v>549.1071</v>
      </c>
      <c r="M73" s="6" t="n">
        <v>3655</v>
      </c>
      <c r="N73" s="7" t="n">
        <f aca="false">M73*0.453592</f>
        <v>1657.87876</v>
      </c>
      <c r="O73" s="3"/>
      <c r="P73" s="3"/>
      <c r="Q73" s="8" t="n">
        <f aca="false">J73/M73</f>
        <v>0.110807113543092</v>
      </c>
      <c r="R73" s="8" t="n">
        <f aca="false">J73/N73</f>
        <v>0.244288068447176</v>
      </c>
      <c r="S73" s="4" t="s">
        <v>105</v>
      </c>
    </row>
    <row r="74" customFormat="false" ht="14.25" hidden="false" customHeight="true" outlineLevel="0" collapsed="false">
      <c r="A74" s="3" t="s">
        <v>43</v>
      </c>
      <c r="B74" s="4" t="s">
        <v>176</v>
      </c>
      <c r="C74" s="4" t="s">
        <v>191</v>
      </c>
      <c r="D74" s="4" t="s">
        <v>171</v>
      </c>
      <c r="E74" s="3" t="s">
        <v>70</v>
      </c>
      <c r="F74" s="3" t="n">
        <v>700</v>
      </c>
      <c r="G74" s="4" t="s">
        <v>104</v>
      </c>
      <c r="H74" s="5"/>
      <c r="I74" s="3"/>
      <c r="J74" s="6" t="n">
        <v>453</v>
      </c>
      <c r="K74" s="6" t="n">
        <v>405</v>
      </c>
      <c r="L74" s="7" t="n">
        <f aca="false">K74*1.35582</f>
        <v>549.1071</v>
      </c>
      <c r="M74" s="6" t="n">
        <v>3644</v>
      </c>
      <c r="N74" s="7" t="n">
        <f aca="false">M74*0.453592</f>
        <v>1652.889248</v>
      </c>
      <c r="O74" s="3"/>
      <c r="P74" s="3"/>
      <c r="Q74" s="8" t="n">
        <f aca="false">J74/M74</f>
        <v>0.124313940724479</v>
      </c>
      <c r="R74" s="8" t="n">
        <f aca="false">J74/N74</f>
        <v>0.274065549490464</v>
      </c>
      <c r="S74" s="4" t="s">
        <v>84</v>
      </c>
    </row>
    <row r="75" customFormat="false" ht="14.25" hidden="false" customHeight="true" outlineLevel="0" collapsed="false">
      <c r="A75" s="3" t="s">
        <v>192</v>
      </c>
      <c r="B75" s="4" t="s">
        <v>176</v>
      </c>
      <c r="C75" s="4" t="s">
        <v>193</v>
      </c>
      <c r="D75" s="4" t="s">
        <v>61</v>
      </c>
      <c r="E75" s="3" t="s">
        <v>23</v>
      </c>
      <c r="F75" s="3" t="n">
        <v>474</v>
      </c>
      <c r="G75" s="4" t="s">
        <v>104</v>
      </c>
      <c r="H75" s="5" t="n">
        <v>250000</v>
      </c>
      <c r="I75" s="3" t="s">
        <v>25</v>
      </c>
      <c r="J75" s="6" t="n">
        <v>192</v>
      </c>
      <c r="K75" s="6" t="n">
        <v>170</v>
      </c>
      <c r="L75" s="7" t="n">
        <f aca="false">K75*1.35582</f>
        <v>230.4894</v>
      </c>
      <c r="M75" s="6" t="n">
        <v>2762</v>
      </c>
      <c r="N75" s="7" t="n">
        <f aca="false">M75*0.453592</f>
        <v>1252.821104</v>
      </c>
      <c r="O75" s="3" t="s">
        <v>26</v>
      </c>
      <c r="P75" s="3" t="s">
        <v>27</v>
      </c>
      <c r="Q75" s="8" t="n">
        <f aca="false">J75/M75</f>
        <v>0.0695148443157133</v>
      </c>
      <c r="R75" s="8" t="n">
        <f aca="false">J75/N75</f>
        <v>0.153254123343695</v>
      </c>
      <c r="S75" s="4" t="s">
        <v>35</v>
      </c>
    </row>
    <row r="76" customFormat="false" ht="14.25" hidden="false" customHeight="true" outlineLevel="0" collapsed="false">
      <c r="A76" s="3" t="s">
        <v>194</v>
      </c>
      <c r="B76" s="4" t="s">
        <v>176</v>
      </c>
      <c r="C76" s="4" t="s">
        <v>193</v>
      </c>
      <c r="D76" s="4" t="s">
        <v>61</v>
      </c>
      <c r="E76" s="3" t="s">
        <v>39</v>
      </c>
      <c r="F76" s="3" t="n">
        <v>549</v>
      </c>
      <c r="G76" s="4" t="s">
        <v>104</v>
      </c>
      <c r="H76" s="5" t="n">
        <v>30000</v>
      </c>
      <c r="I76" s="3" t="s">
        <v>33</v>
      </c>
      <c r="J76" s="6" t="n">
        <v>321</v>
      </c>
      <c r="K76" s="6" t="n">
        <v>258</v>
      </c>
      <c r="L76" s="7" t="n">
        <f aca="false">K76*1.35582</f>
        <v>349.80156</v>
      </c>
      <c r="M76" s="6" t="n">
        <v>3219</v>
      </c>
      <c r="N76" s="7" t="n">
        <f aca="false">M76*0.453592</f>
        <v>1460.112648</v>
      </c>
      <c r="O76" s="3" t="s">
        <v>26</v>
      </c>
      <c r="P76" s="3" t="s">
        <v>27</v>
      </c>
      <c r="Q76" s="8" t="n">
        <f aca="false">J76/M76</f>
        <v>0.0997204100652377</v>
      </c>
      <c r="R76" s="8" t="n">
        <f aca="false">J76/N76</f>
        <v>0.219846051220563</v>
      </c>
      <c r="S76" s="4" t="s">
        <v>35</v>
      </c>
    </row>
    <row r="77" customFormat="false" ht="14.25" hidden="false" customHeight="true" outlineLevel="0" collapsed="false">
      <c r="A77" s="3" t="s">
        <v>195</v>
      </c>
      <c r="B77" s="4" t="s">
        <v>176</v>
      </c>
      <c r="C77" s="4" t="s">
        <v>193</v>
      </c>
      <c r="D77" s="4" t="s">
        <v>61</v>
      </c>
      <c r="E77" s="3" t="s">
        <v>39</v>
      </c>
      <c r="F77" s="3" t="n">
        <v>554</v>
      </c>
      <c r="G77" s="4" t="s">
        <v>104</v>
      </c>
      <c r="H77" s="5" t="n">
        <v>35000</v>
      </c>
      <c r="I77" s="3" t="s">
        <v>33</v>
      </c>
      <c r="J77" s="6" t="n">
        <v>333</v>
      </c>
      <c r="K77" s="6" t="n">
        <v>262</v>
      </c>
      <c r="L77" s="7" t="n">
        <f aca="false">K77*1.35582</f>
        <v>355.22484</v>
      </c>
      <c r="M77" s="6" t="n">
        <v>3415</v>
      </c>
      <c r="N77" s="7" t="n">
        <f aca="false">M77*0.453592</f>
        <v>1549.01668</v>
      </c>
      <c r="O77" s="3" t="s">
        <v>26</v>
      </c>
      <c r="P77" s="3" t="s">
        <v>27</v>
      </c>
      <c r="Q77" s="8" t="n">
        <f aca="false">J77/M77</f>
        <v>0.097510980966325</v>
      </c>
      <c r="R77" s="8" t="n">
        <f aca="false">J77/N77</f>
        <v>0.214975089874436</v>
      </c>
      <c r="S77" s="4" t="s">
        <v>35</v>
      </c>
    </row>
    <row r="78" customFormat="false" ht="14.25" hidden="false" customHeight="true" outlineLevel="0" collapsed="false">
      <c r="A78" s="3" t="s">
        <v>196</v>
      </c>
      <c r="B78" s="4" t="s">
        <v>176</v>
      </c>
      <c r="C78" s="4" t="s">
        <v>193</v>
      </c>
      <c r="D78" s="4" t="s">
        <v>78</v>
      </c>
      <c r="E78" s="3" t="s">
        <v>70</v>
      </c>
      <c r="F78" s="3" t="n">
        <v>608</v>
      </c>
      <c r="G78" s="4" t="s">
        <v>104</v>
      </c>
      <c r="H78" s="5" t="n">
        <v>43000</v>
      </c>
      <c r="I78" s="3" t="s">
        <v>33</v>
      </c>
      <c r="J78" s="6" t="n">
        <v>414</v>
      </c>
      <c r="K78" s="6" t="n">
        <v>295</v>
      </c>
      <c r="L78" s="7" t="n">
        <f aca="false">K78*1.35582</f>
        <v>399.9669</v>
      </c>
      <c r="M78" s="6" t="n">
        <v>3649</v>
      </c>
      <c r="N78" s="7" t="n">
        <f aca="false">M78*0.453592</f>
        <v>1655.157208</v>
      </c>
      <c r="O78" s="3" t="s">
        <v>26</v>
      </c>
      <c r="P78" s="3" t="s">
        <v>27</v>
      </c>
      <c r="Q78" s="8" t="n">
        <f aca="false">J78/M78</f>
        <v>0.113455741298986</v>
      </c>
      <c r="R78" s="8" t="n">
        <f aca="false">J78/N78</f>
        <v>0.250127297877798</v>
      </c>
      <c r="S78" s="4" t="s">
        <v>35</v>
      </c>
    </row>
    <row r="79" customFormat="false" ht="14.25" hidden="false" customHeight="true" outlineLevel="0" collapsed="false">
      <c r="A79" s="3" t="s">
        <v>159</v>
      </c>
      <c r="B79" s="4" t="s">
        <v>176</v>
      </c>
      <c r="C79" s="4" t="s">
        <v>197</v>
      </c>
      <c r="D79" s="4" t="s">
        <v>171</v>
      </c>
      <c r="E79" s="3" t="s">
        <v>70</v>
      </c>
      <c r="F79" s="3" t="n">
        <v>678</v>
      </c>
      <c r="G79" s="4" t="s">
        <v>104</v>
      </c>
      <c r="H79" s="5" t="n">
        <v>198000</v>
      </c>
      <c r="I79" s="3" t="s">
        <v>55</v>
      </c>
      <c r="J79" s="6" t="n">
        <v>444</v>
      </c>
      <c r="K79" s="6" t="n">
        <v>324</v>
      </c>
      <c r="L79" s="7" t="n">
        <f aca="false">K79*1.35582</f>
        <v>439.28568</v>
      </c>
      <c r="M79" s="6" t="n">
        <v>2408</v>
      </c>
      <c r="N79" s="7" t="n">
        <f aca="false">M79*0.453592</f>
        <v>1092.249536</v>
      </c>
      <c r="O79" s="3" t="s">
        <v>26</v>
      </c>
      <c r="P79" s="3" t="s">
        <v>27</v>
      </c>
      <c r="Q79" s="8" t="n">
        <f aca="false">J79/M79</f>
        <v>0.184385382059801</v>
      </c>
      <c r="R79" s="8" t="n">
        <f aca="false">J79/N79</f>
        <v>0.406500516013952</v>
      </c>
      <c r="S79" s="4" t="s">
        <v>35</v>
      </c>
    </row>
    <row r="80" customFormat="false" ht="14.25" hidden="false" customHeight="true" outlineLevel="0" collapsed="false">
      <c r="A80" s="3" t="s">
        <v>76</v>
      </c>
      <c r="B80" s="4" t="s">
        <v>176</v>
      </c>
      <c r="C80" s="4" t="s">
        <v>198</v>
      </c>
      <c r="D80" s="4" t="s">
        <v>78</v>
      </c>
      <c r="E80" s="3" t="s">
        <v>70</v>
      </c>
      <c r="F80" s="3" t="n">
        <v>666</v>
      </c>
      <c r="G80" s="4" t="s">
        <v>104</v>
      </c>
      <c r="H80" s="5" t="n">
        <v>64000</v>
      </c>
      <c r="I80" s="3" t="s">
        <v>25</v>
      </c>
      <c r="J80" s="6" t="n">
        <v>503</v>
      </c>
      <c r="K80" s="6" t="n">
        <v>479</v>
      </c>
      <c r="L80" s="7" t="n">
        <f aca="false">K80*1.35582</f>
        <v>649.43778</v>
      </c>
      <c r="M80" s="6" t="n">
        <v>3804</v>
      </c>
      <c r="N80" s="7" t="n">
        <f aca="false">M80*0.453592</f>
        <v>1725.463968</v>
      </c>
      <c r="O80" s="3" t="s">
        <v>26</v>
      </c>
      <c r="P80" s="3" t="s">
        <v>27</v>
      </c>
      <c r="Q80" s="8" t="n">
        <f aca="false">J80/M80</f>
        <v>0.132229232386961</v>
      </c>
      <c r="R80" s="8" t="n">
        <f aca="false">J80/N80</f>
        <v>0.29151579478245</v>
      </c>
      <c r="S80" s="4" t="s">
        <v>35</v>
      </c>
    </row>
    <row r="81" customFormat="false" ht="14.25" hidden="false" customHeight="true" outlineLevel="0" collapsed="false">
      <c r="A81" s="3" t="s">
        <v>76</v>
      </c>
      <c r="B81" s="4" t="s">
        <v>176</v>
      </c>
      <c r="C81" s="4" t="s">
        <v>199</v>
      </c>
      <c r="D81" s="4" t="s">
        <v>78</v>
      </c>
      <c r="E81" s="3" t="s">
        <v>54</v>
      </c>
      <c r="F81" s="3" t="n">
        <v>800</v>
      </c>
      <c r="G81" s="4" t="s">
        <v>104</v>
      </c>
      <c r="H81" s="5" t="n">
        <v>150000</v>
      </c>
      <c r="I81" s="3" t="s">
        <v>66</v>
      </c>
      <c r="J81" s="6" t="n">
        <v>578</v>
      </c>
      <c r="K81" s="6" t="n">
        <v>551</v>
      </c>
      <c r="L81" s="7" t="n">
        <f aca="false">K81*1.35582</f>
        <v>747.05682</v>
      </c>
      <c r="M81" s="6" t="n">
        <v>2976</v>
      </c>
      <c r="N81" s="7" t="n">
        <f aca="false">M81*0.453592</f>
        <v>1349.889792</v>
      </c>
      <c r="O81" s="3" t="s">
        <v>26</v>
      </c>
      <c r="P81" s="3" t="s">
        <v>27</v>
      </c>
      <c r="Q81" s="8" t="n">
        <f aca="false">J81/M81</f>
        <v>0.194220430107527</v>
      </c>
      <c r="R81" s="8" t="n">
        <f aca="false">J81/N81</f>
        <v>0.42818310311365</v>
      </c>
      <c r="S81" s="4" t="s">
        <v>75</v>
      </c>
    </row>
    <row r="82" customFormat="false" ht="14.25" hidden="false" customHeight="true" outlineLevel="0" collapsed="false">
      <c r="A82" s="3" t="s">
        <v>68</v>
      </c>
      <c r="B82" s="4" t="s">
        <v>176</v>
      </c>
      <c r="C82" s="4" t="s">
        <v>200</v>
      </c>
      <c r="D82" s="4" t="s">
        <v>78</v>
      </c>
      <c r="E82" s="3" t="s">
        <v>70</v>
      </c>
      <c r="F82" s="3" t="n">
        <v>679</v>
      </c>
      <c r="G82" s="4" t="s">
        <v>104</v>
      </c>
      <c r="H82" s="5" t="n">
        <v>55000</v>
      </c>
      <c r="I82" s="3" t="s">
        <v>25</v>
      </c>
      <c r="J82" s="6" t="n">
        <v>425</v>
      </c>
      <c r="K82" s="6" t="n">
        <v>406</v>
      </c>
      <c r="L82" s="7" t="n">
        <f aca="false">K82*1.35582</f>
        <v>550.46292</v>
      </c>
      <c r="M82" s="6" t="n">
        <v>3389</v>
      </c>
      <c r="N82" s="7" t="n">
        <f aca="false">M82*0.453592</f>
        <v>1537.223288</v>
      </c>
      <c r="O82" s="3" t="s">
        <v>26</v>
      </c>
      <c r="P82" s="3" t="s">
        <v>27</v>
      </c>
      <c r="Q82" s="8" t="n">
        <f aca="false">J82/M82</f>
        <v>0.125405724402479</v>
      </c>
      <c r="R82" s="8" t="n">
        <f aca="false">J82/N82</f>
        <v>0.276472522448541</v>
      </c>
      <c r="S82" s="4" t="s">
        <v>35</v>
      </c>
    </row>
    <row r="83" customFormat="false" ht="14.25" hidden="false" customHeight="true" outlineLevel="0" collapsed="false">
      <c r="A83" s="3" t="s">
        <v>36</v>
      </c>
      <c r="B83" s="4" t="s">
        <v>176</v>
      </c>
      <c r="C83" s="4" t="s">
        <v>201</v>
      </c>
      <c r="D83" s="4" t="s">
        <v>171</v>
      </c>
      <c r="E83" s="3" t="s">
        <v>54</v>
      </c>
      <c r="F83" s="3" t="n">
        <v>711</v>
      </c>
      <c r="G83" s="4" t="s">
        <v>104</v>
      </c>
      <c r="H83" s="5" t="n">
        <v>125000</v>
      </c>
      <c r="I83" s="3" t="s">
        <v>55</v>
      </c>
      <c r="J83" s="6" t="n">
        <v>493</v>
      </c>
      <c r="K83" s="6" t="n">
        <v>442</v>
      </c>
      <c r="L83" s="7" t="n">
        <f aca="false">K83*1.35582</f>
        <v>599.27244</v>
      </c>
      <c r="M83" s="6" t="n">
        <v>3329</v>
      </c>
      <c r="N83" s="7" t="n">
        <f aca="false">M83*0.453592</f>
        <v>1510.007768</v>
      </c>
      <c r="O83" s="3" t="s">
        <v>26</v>
      </c>
      <c r="P83" s="3" t="s">
        <v>27</v>
      </c>
      <c r="Q83" s="8" t="n">
        <f aca="false">J83/M83</f>
        <v>0.148092520276359</v>
      </c>
      <c r="R83" s="8" t="n">
        <f aca="false">J83/N83</f>
        <v>0.326488386647823</v>
      </c>
      <c r="S83" s="4" t="s">
        <v>35</v>
      </c>
    </row>
    <row r="84" customFormat="false" ht="14.25" hidden="false" customHeight="true" outlineLevel="0" collapsed="false">
      <c r="A84" s="3" t="s">
        <v>192</v>
      </c>
      <c r="B84" s="4" t="s">
        <v>176</v>
      </c>
      <c r="C84" s="4" t="s">
        <v>202</v>
      </c>
      <c r="D84" s="4" t="s">
        <v>61</v>
      </c>
      <c r="E84" s="3" t="s">
        <v>23</v>
      </c>
      <c r="F84" s="3" t="n">
        <v>470</v>
      </c>
      <c r="G84" s="4" t="s">
        <v>104</v>
      </c>
      <c r="H84" s="5" t="n">
        <v>70000</v>
      </c>
      <c r="I84" s="3" t="s">
        <v>25</v>
      </c>
      <c r="J84" s="6" t="n">
        <v>282</v>
      </c>
      <c r="K84" s="6" t="n">
        <v>251</v>
      </c>
      <c r="L84" s="7" t="n">
        <f aca="false">K84*1.35582</f>
        <v>340.31082</v>
      </c>
      <c r="M84" s="6" t="n">
        <v>3230</v>
      </c>
      <c r="N84" s="7" t="n">
        <f aca="false">M84*0.453592</f>
        <v>1465.10216</v>
      </c>
      <c r="O84" s="3" t="s">
        <v>26</v>
      </c>
      <c r="P84" s="3" t="s">
        <v>27</v>
      </c>
      <c r="Q84" s="8" t="n">
        <f aca="false">J84/M84</f>
        <v>0.0873065015479876</v>
      </c>
      <c r="R84" s="8" t="n">
        <f aca="false">J84/N84</f>
        <v>0.192478045353506</v>
      </c>
      <c r="S84" s="4" t="s">
        <v>35</v>
      </c>
    </row>
    <row r="85" customFormat="false" ht="14.25" hidden="false" customHeight="true" outlineLevel="0" collapsed="false">
      <c r="A85" s="3" t="s">
        <v>178</v>
      </c>
      <c r="B85" s="4" t="s">
        <v>176</v>
      </c>
      <c r="C85" s="4" t="s">
        <v>202</v>
      </c>
      <c r="D85" s="4" t="s">
        <v>61</v>
      </c>
      <c r="E85" s="3" t="s">
        <v>39</v>
      </c>
      <c r="F85" s="3" t="n">
        <v>516</v>
      </c>
      <c r="G85" s="4" t="s">
        <v>104</v>
      </c>
      <c r="H85" s="5" t="n">
        <v>48000</v>
      </c>
      <c r="I85" s="3" t="s">
        <v>25</v>
      </c>
      <c r="J85" s="6" t="n">
        <v>342</v>
      </c>
      <c r="K85" s="6" t="n">
        <v>301</v>
      </c>
      <c r="L85" s="7" t="n">
        <f aca="false">K85*1.35582</f>
        <v>408.10182</v>
      </c>
      <c r="M85" s="6" t="n">
        <v>3772</v>
      </c>
      <c r="N85" s="7" t="n">
        <f aca="false">M85*0.453592</f>
        <v>1710.949024</v>
      </c>
      <c r="O85" s="3" t="s">
        <v>26</v>
      </c>
      <c r="P85" s="3" t="s">
        <v>27</v>
      </c>
      <c r="Q85" s="8" t="n">
        <f aca="false">J85/M85</f>
        <v>0.0906680805938494</v>
      </c>
      <c r="R85" s="8" t="n">
        <f aca="false">J85/N85</f>
        <v>0.199889064608391</v>
      </c>
      <c r="S85" s="4" t="s">
        <v>35</v>
      </c>
    </row>
    <row r="86" customFormat="false" ht="14.25" hidden="false" customHeight="true" outlineLevel="0" collapsed="false">
      <c r="A86" s="3" t="s">
        <v>118</v>
      </c>
      <c r="B86" s="4" t="s">
        <v>176</v>
      </c>
      <c r="C86" s="4" t="s">
        <v>202</v>
      </c>
      <c r="D86" s="4" t="s">
        <v>61</v>
      </c>
      <c r="E86" s="3" t="s">
        <v>39</v>
      </c>
      <c r="F86" s="3" t="n">
        <v>580</v>
      </c>
      <c r="G86" s="4" t="s">
        <v>104</v>
      </c>
      <c r="H86" s="5" t="n">
        <v>47000</v>
      </c>
      <c r="I86" s="3" t="s">
        <v>33</v>
      </c>
      <c r="J86" s="6" t="n">
        <v>394</v>
      </c>
      <c r="K86" s="6" t="n">
        <v>368</v>
      </c>
      <c r="L86" s="7" t="n">
        <f aca="false">K86*1.35582</f>
        <v>498.94176</v>
      </c>
      <c r="M86" s="6" t="n">
        <v>3900</v>
      </c>
      <c r="N86" s="7" t="n">
        <f aca="false">M86*0.453592</f>
        <v>1769.0088</v>
      </c>
      <c r="O86" s="3" t="s">
        <v>26</v>
      </c>
      <c r="P86" s="3" t="s">
        <v>27</v>
      </c>
      <c r="Q86" s="8" t="n">
        <f aca="false">J86/M86</f>
        <v>0.101025641025641</v>
      </c>
      <c r="R86" s="8" t="n">
        <f aca="false">J86/N86</f>
        <v>0.222723595269848</v>
      </c>
      <c r="S86" s="4" t="s">
        <v>35</v>
      </c>
    </row>
    <row r="87" customFormat="false" ht="14.25" hidden="false" customHeight="true" outlineLevel="0" collapsed="false">
      <c r="A87" s="3" t="s">
        <v>139</v>
      </c>
      <c r="B87" s="4" t="s">
        <v>176</v>
      </c>
      <c r="C87" s="4" t="s">
        <v>202</v>
      </c>
      <c r="D87" s="4" t="s">
        <v>78</v>
      </c>
      <c r="E87" s="3" t="s">
        <v>39</v>
      </c>
      <c r="F87" s="3" t="n">
        <v>595</v>
      </c>
      <c r="G87" s="4" t="s">
        <v>104</v>
      </c>
      <c r="H87" s="5" t="n">
        <v>54000</v>
      </c>
      <c r="I87" s="3" t="s">
        <v>25</v>
      </c>
      <c r="J87" s="6" t="n">
        <v>500</v>
      </c>
      <c r="K87" s="6" t="n">
        <v>383</v>
      </c>
      <c r="L87" s="7" t="n">
        <f aca="false">K87*1.35582</f>
        <v>519.27906</v>
      </c>
      <c r="M87" s="6" t="n">
        <v>4012</v>
      </c>
      <c r="N87" s="7" t="n">
        <f aca="false">M87*0.453592</f>
        <v>1819.811104</v>
      </c>
      <c r="O87" s="3" t="s">
        <v>26</v>
      </c>
      <c r="P87" s="3" t="s">
        <v>27</v>
      </c>
      <c r="Q87" s="8" t="n">
        <f aca="false">J87/M87</f>
        <v>0.124626121635095</v>
      </c>
      <c r="R87" s="8" t="n">
        <f aca="false">J87/N87</f>
        <v>0.274753791149524</v>
      </c>
      <c r="S87" s="4" t="s">
        <v>35</v>
      </c>
    </row>
    <row r="88" customFormat="false" ht="14.25" hidden="false" customHeight="true" outlineLevel="0" collapsed="false">
      <c r="A88" s="3" t="s">
        <v>203</v>
      </c>
      <c r="B88" s="4" t="s">
        <v>176</v>
      </c>
      <c r="C88" s="4" t="s">
        <v>202</v>
      </c>
      <c r="D88" s="4" t="s">
        <v>78</v>
      </c>
      <c r="E88" s="3" t="s">
        <v>70</v>
      </c>
      <c r="F88" s="3" t="n">
        <v>652</v>
      </c>
      <c r="G88" s="4" t="s">
        <v>104</v>
      </c>
      <c r="H88" s="5" t="n">
        <v>40000</v>
      </c>
      <c r="I88" s="3" t="s">
        <v>25</v>
      </c>
      <c r="J88" s="6" t="n">
        <v>552</v>
      </c>
      <c r="K88" s="6" t="n">
        <v>501</v>
      </c>
      <c r="L88" s="7" t="n">
        <f aca="false">K88*1.35582</f>
        <v>679.26582</v>
      </c>
      <c r="M88" s="6" t="n">
        <v>4123</v>
      </c>
      <c r="N88" s="7" t="n">
        <f aca="false">M88*0.453592</f>
        <v>1870.159816</v>
      </c>
      <c r="O88" s="3" t="s">
        <v>26</v>
      </c>
      <c r="P88" s="3" t="s">
        <v>27</v>
      </c>
      <c r="Q88" s="8" t="n">
        <f aca="false">J88/M88</f>
        <v>0.133883094833859</v>
      </c>
      <c r="R88" s="8" t="n">
        <f aca="false">J88/N88</f>
        <v>0.295161940320506</v>
      </c>
      <c r="S88" s="4" t="s">
        <v>35</v>
      </c>
    </row>
    <row r="89" customFormat="false" ht="14.25" hidden="false" customHeight="true" outlineLevel="0" collapsed="false">
      <c r="A89" s="3" t="s">
        <v>51</v>
      </c>
      <c r="B89" s="4" t="s">
        <v>176</v>
      </c>
      <c r="C89" s="4" t="s">
        <v>204</v>
      </c>
      <c r="D89" s="4" t="s">
        <v>78</v>
      </c>
      <c r="E89" s="3" t="s">
        <v>54</v>
      </c>
      <c r="F89" s="3" t="n">
        <v>731</v>
      </c>
      <c r="G89" s="4" t="s">
        <v>104</v>
      </c>
      <c r="H89" s="5" t="n">
        <v>150000</v>
      </c>
      <c r="I89" s="3" t="s">
        <v>25</v>
      </c>
      <c r="J89" s="6" t="n">
        <v>626</v>
      </c>
      <c r="K89" s="6" t="n">
        <v>553</v>
      </c>
      <c r="L89" s="7" t="n">
        <f aca="false">K89*1.35582</f>
        <v>749.76846</v>
      </c>
      <c r="M89" s="6" t="n">
        <v>4023</v>
      </c>
      <c r="N89" s="7" t="n">
        <f aca="false">M89*0.453592</f>
        <v>1824.800616</v>
      </c>
      <c r="O89" s="3" t="s">
        <v>62</v>
      </c>
      <c r="P89" s="3" t="s">
        <v>27</v>
      </c>
      <c r="Q89" s="8" t="n">
        <f aca="false">J89/M89</f>
        <v>0.155605269699229</v>
      </c>
      <c r="R89" s="8" t="n">
        <f aca="false">J89/N89</f>
        <v>0.343051177488204</v>
      </c>
      <c r="S89" s="4" t="s">
        <v>35</v>
      </c>
    </row>
    <row r="90" customFormat="false" ht="14.25" hidden="false" customHeight="true" outlineLevel="0" collapsed="false">
      <c r="A90" s="3" t="s">
        <v>141</v>
      </c>
      <c r="B90" s="4" t="s">
        <v>176</v>
      </c>
      <c r="C90" s="4" t="s">
        <v>205</v>
      </c>
      <c r="D90" s="4" t="s">
        <v>73</v>
      </c>
      <c r="E90" s="3" t="s">
        <v>70</v>
      </c>
      <c r="F90" s="3" t="n">
        <v>684</v>
      </c>
      <c r="G90" s="4" t="s">
        <v>104</v>
      </c>
      <c r="H90" s="5" t="n">
        <v>100000</v>
      </c>
      <c r="I90" s="3" t="s">
        <v>25</v>
      </c>
      <c r="J90" s="6" t="n">
        <v>617</v>
      </c>
      <c r="K90" s="6" t="n">
        <v>553</v>
      </c>
      <c r="L90" s="7" t="n">
        <f aca="false">K90*1.35582</f>
        <v>749.76846</v>
      </c>
      <c r="M90" s="6" t="n">
        <v>4354</v>
      </c>
      <c r="N90" s="7" t="n">
        <f aca="false">M90*0.453592</f>
        <v>1974.939568</v>
      </c>
      <c r="O90" s="3" t="s">
        <v>62</v>
      </c>
      <c r="P90" s="3" t="s">
        <v>27</v>
      </c>
      <c r="Q90" s="8" t="n">
        <f aca="false">J90/M90</f>
        <v>0.141708773541571</v>
      </c>
      <c r="R90" s="8" t="n">
        <f aca="false">J90/N90</f>
        <v>0.31241462270404</v>
      </c>
      <c r="S90" s="4" t="s">
        <v>35</v>
      </c>
    </row>
    <row r="91" customFormat="false" ht="14.25" hidden="false" customHeight="true" outlineLevel="0" collapsed="false">
      <c r="A91" s="3" t="s">
        <v>145</v>
      </c>
      <c r="B91" s="4" t="s">
        <v>176</v>
      </c>
      <c r="C91" s="4" t="s">
        <v>206</v>
      </c>
      <c r="D91" s="4" t="s">
        <v>124</v>
      </c>
      <c r="E91" s="3" t="s">
        <v>39</v>
      </c>
      <c r="F91" s="3" t="n">
        <v>546</v>
      </c>
      <c r="G91" s="4" t="s">
        <v>104</v>
      </c>
      <c r="H91" s="5" t="n">
        <v>24000</v>
      </c>
      <c r="I91" s="3" t="s">
        <v>33</v>
      </c>
      <c r="J91" s="6" t="n">
        <v>547</v>
      </c>
      <c r="K91" s="6" t="n">
        <v>501</v>
      </c>
      <c r="L91" s="7" t="n">
        <f aca="false">K91*1.35582</f>
        <v>679.26582</v>
      </c>
      <c r="M91" s="6" t="n">
        <v>5368</v>
      </c>
      <c r="N91" s="7" t="n">
        <f aca="false">M91*0.453592</f>
        <v>2434.881856</v>
      </c>
      <c r="O91" s="3" t="s">
        <v>62</v>
      </c>
      <c r="P91" s="3" t="s">
        <v>27</v>
      </c>
      <c r="Q91" s="8" t="n">
        <f aca="false">J91/M91</f>
        <v>0.101900149031297</v>
      </c>
      <c r="R91" s="8" t="n">
        <f aca="false">J91/N91</f>
        <v>0.224651556974763</v>
      </c>
      <c r="S91" s="4" t="s">
        <v>35</v>
      </c>
    </row>
    <row r="92" customFormat="false" ht="14.25" hidden="false" customHeight="true" outlineLevel="0" collapsed="false">
      <c r="A92" s="3" t="s">
        <v>207</v>
      </c>
      <c r="B92" s="4" t="s">
        <v>176</v>
      </c>
      <c r="C92" s="4" t="s">
        <v>208</v>
      </c>
      <c r="D92" s="4" t="s">
        <v>124</v>
      </c>
      <c r="E92" s="3" t="s">
        <v>70</v>
      </c>
      <c r="F92" s="3" t="n">
        <v>672</v>
      </c>
      <c r="G92" s="4" t="s">
        <v>104</v>
      </c>
      <c r="H92" s="5" t="n">
        <v>140000</v>
      </c>
      <c r="I92" s="3" t="s">
        <v>55</v>
      </c>
      <c r="J92" s="6" t="n">
        <v>617</v>
      </c>
      <c r="K92" s="6" t="n">
        <v>553</v>
      </c>
      <c r="L92" s="7" t="n">
        <f aca="false">K92*1.35582</f>
        <v>749.76846</v>
      </c>
      <c r="M92" s="6" t="n">
        <v>5454</v>
      </c>
      <c r="N92" s="7" t="n">
        <f aca="false">M92*0.453592</f>
        <v>2473.890768</v>
      </c>
      <c r="O92" s="3" t="s">
        <v>62</v>
      </c>
      <c r="P92" s="3" t="s">
        <v>27</v>
      </c>
      <c r="Q92" s="8" t="n">
        <f aca="false">J92/M92</f>
        <v>0.113127979464613</v>
      </c>
      <c r="R92" s="8" t="n">
        <f aca="false">J92/N92</f>
        <v>0.249404706133735</v>
      </c>
      <c r="S92" s="4" t="s">
        <v>35</v>
      </c>
    </row>
    <row r="93" customFormat="false" ht="14.25" hidden="false" customHeight="true" outlineLevel="0" collapsed="false">
      <c r="A93" s="3" t="s">
        <v>196</v>
      </c>
      <c r="B93" s="4" t="s">
        <v>176</v>
      </c>
      <c r="C93" s="4" t="s">
        <v>209</v>
      </c>
      <c r="D93" s="4" t="s">
        <v>22</v>
      </c>
      <c r="E93" s="3" t="s">
        <v>39</v>
      </c>
      <c r="F93" s="3" t="n">
        <v>579</v>
      </c>
      <c r="G93" s="4" t="s">
        <v>104</v>
      </c>
      <c r="H93" s="5" t="n">
        <v>63000</v>
      </c>
      <c r="I93" s="3" t="s">
        <v>25</v>
      </c>
      <c r="J93" s="6" t="n">
        <v>330</v>
      </c>
      <c r="K93" s="6" t="n">
        <v>262</v>
      </c>
      <c r="L93" s="7" t="n">
        <f aca="false">K93*1.35582</f>
        <v>355.22484</v>
      </c>
      <c r="M93" s="6" t="n">
        <v>3296</v>
      </c>
      <c r="N93" s="7" t="n">
        <f aca="false">M93*0.453592</f>
        <v>1495.039232</v>
      </c>
      <c r="O93" s="3" t="s">
        <v>26</v>
      </c>
      <c r="P93" s="3" t="s">
        <v>27</v>
      </c>
      <c r="Q93" s="8" t="n">
        <f aca="false">J93/M93</f>
        <v>0.100121359223301</v>
      </c>
      <c r="R93" s="8" t="n">
        <f aca="false">J93/N93</f>
        <v>0.220729993525682</v>
      </c>
      <c r="S93" s="4" t="s">
        <v>35</v>
      </c>
    </row>
    <row r="94" customFormat="false" ht="14.25" hidden="false" customHeight="true" outlineLevel="0" collapsed="false">
      <c r="A94" s="3" t="s">
        <v>121</v>
      </c>
      <c r="B94" s="4" t="s">
        <v>176</v>
      </c>
      <c r="C94" s="4" t="s">
        <v>210</v>
      </c>
      <c r="D94" s="4" t="s">
        <v>22</v>
      </c>
      <c r="E94" s="3" t="s">
        <v>70</v>
      </c>
      <c r="F94" s="3" t="n">
        <v>634</v>
      </c>
      <c r="G94" s="4" t="s">
        <v>104</v>
      </c>
      <c r="H94" s="5" t="n">
        <v>38000</v>
      </c>
      <c r="I94" s="3" t="s">
        <v>33</v>
      </c>
      <c r="J94" s="6" t="n">
        <v>382</v>
      </c>
      <c r="K94" s="6" t="n">
        <v>369</v>
      </c>
      <c r="L94" s="7" t="n">
        <f aca="false">K94*1.35582</f>
        <v>500.29758</v>
      </c>
      <c r="M94" s="6" t="n">
        <v>3252</v>
      </c>
      <c r="N94" s="7" t="n">
        <f aca="false">M94*0.453592</f>
        <v>1475.081184</v>
      </c>
      <c r="O94" s="3" t="s">
        <v>26</v>
      </c>
      <c r="P94" s="3" t="s">
        <v>27</v>
      </c>
      <c r="Q94" s="8" t="n">
        <f aca="false">J94/M94</f>
        <v>0.117466174661747</v>
      </c>
      <c r="R94" s="8" t="n">
        <f aca="false">J94/N94</f>
        <v>0.25896879720486</v>
      </c>
      <c r="S94" s="4" t="s">
        <v>112</v>
      </c>
    </row>
    <row r="95" customFormat="false" ht="14.25" hidden="false" customHeight="true" outlineLevel="0" collapsed="false">
      <c r="A95" s="3" t="s">
        <v>211</v>
      </c>
      <c r="B95" s="4" t="s">
        <v>212</v>
      </c>
      <c r="C95" s="4" t="s">
        <v>213</v>
      </c>
      <c r="D95" s="4" t="s">
        <v>214</v>
      </c>
      <c r="E95" s="3" t="s">
        <v>23</v>
      </c>
      <c r="F95" s="3" t="n">
        <v>454</v>
      </c>
      <c r="G95" s="4" t="s">
        <v>46</v>
      </c>
      <c r="H95" s="5" t="n">
        <v>255000</v>
      </c>
      <c r="I95" s="3" t="s">
        <v>55</v>
      </c>
      <c r="J95" s="6" t="n">
        <v>300</v>
      </c>
      <c r="K95" s="6" t="n">
        <v>380</v>
      </c>
      <c r="L95" s="7" t="n">
        <f aca="false">K95*1.35582</f>
        <v>515.2116</v>
      </c>
      <c r="M95" s="6" t="n">
        <v>3545</v>
      </c>
      <c r="N95" s="7" t="n">
        <f aca="false">M95*0.453592</f>
        <v>1607.98364</v>
      </c>
      <c r="O95" s="3" t="s">
        <v>26</v>
      </c>
      <c r="P95" s="3" t="s">
        <v>27</v>
      </c>
      <c r="Q95" s="8" t="n">
        <f aca="false">J95/M95</f>
        <v>0.0846262341325811</v>
      </c>
      <c r="R95" s="8" t="n">
        <f aca="false">J95/N95</f>
        <v>0.186569062356878</v>
      </c>
      <c r="S95" s="4" t="s">
        <v>63</v>
      </c>
    </row>
    <row r="96" customFormat="false" ht="14.25" hidden="false" customHeight="true" outlineLevel="0" collapsed="false">
      <c r="A96" s="3" t="s">
        <v>36</v>
      </c>
      <c r="B96" s="4" t="s">
        <v>215</v>
      </c>
      <c r="C96" s="4" t="s">
        <v>216</v>
      </c>
      <c r="D96" s="4" t="s">
        <v>217</v>
      </c>
      <c r="E96" s="3" t="s">
        <v>70</v>
      </c>
      <c r="F96" s="3" t="n">
        <v>601</v>
      </c>
      <c r="G96" s="4" t="s">
        <v>46</v>
      </c>
      <c r="H96" s="5" t="n">
        <v>41000</v>
      </c>
      <c r="I96" s="3" t="s">
        <v>33</v>
      </c>
      <c r="J96" s="6" t="n">
        <v>464</v>
      </c>
      <c r="K96" s="6" t="n">
        <v>444</v>
      </c>
      <c r="L96" s="7" t="n">
        <f aca="false">K96*1.35582</f>
        <v>601.98408</v>
      </c>
      <c r="M96" s="6" t="n">
        <v>3700</v>
      </c>
      <c r="N96" s="7" t="n">
        <f aca="false">M96*0.453592</f>
        <v>1678.2904</v>
      </c>
      <c r="O96" s="3" t="s">
        <v>26</v>
      </c>
      <c r="P96" s="3" t="s">
        <v>27</v>
      </c>
      <c r="Q96" s="8" t="n">
        <f aca="false">J96/M96</f>
        <v>0.125405405405405</v>
      </c>
      <c r="R96" s="8" t="n">
        <f aca="false">J96/N96</f>
        <v>0.276471819179803</v>
      </c>
      <c r="S96" s="4" t="s">
        <v>35</v>
      </c>
    </row>
    <row r="97" customFormat="false" ht="14.25" hidden="false" customHeight="true" outlineLevel="0" collapsed="false">
      <c r="A97" s="3" t="s">
        <v>51</v>
      </c>
      <c r="B97" s="4" t="s">
        <v>215</v>
      </c>
      <c r="C97" s="4" t="s">
        <v>218</v>
      </c>
      <c r="D97" s="4" t="s">
        <v>217</v>
      </c>
      <c r="E97" s="3" t="s">
        <v>70</v>
      </c>
      <c r="F97" s="3" t="n">
        <v>650</v>
      </c>
      <c r="G97" s="4" t="s">
        <v>46</v>
      </c>
      <c r="H97" s="5" t="n">
        <v>55000</v>
      </c>
      <c r="I97" s="3" t="s">
        <v>25</v>
      </c>
      <c r="J97" s="6" t="n">
        <v>472</v>
      </c>
      <c r="K97" s="6" t="n">
        <v>444</v>
      </c>
      <c r="L97" s="7" t="n">
        <f aca="false">K97*1.35582</f>
        <v>601.98408</v>
      </c>
      <c r="M97" s="6" t="n">
        <v>3860</v>
      </c>
      <c r="N97" s="7" t="n">
        <f aca="false">M97*0.453592</f>
        <v>1750.86512</v>
      </c>
      <c r="O97" s="3" t="s">
        <v>26</v>
      </c>
      <c r="P97" s="3" t="s">
        <v>27</v>
      </c>
      <c r="Q97" s="8" t="n">
        <f aca="false">J97/M97</f>
        <v>0.122279792746114</v>
      </c>
      <c r="R97" s="8" t="n">
        <f aca="false">J97/N97</f>
        <v>0.269581017183094</v>
      </c>
      <c r="S97" s="4" t="s">
        <v>35</v>
      </c>
    </row>
    <row r="98" customFormat="false" ht="14.25" hidden="false" customHeight="true" outlineLevel="0" collapsed="false">
      <c r="A98" s="3" t="s">
        <v>51</v>
      </c>
      <c r="B98" s="4" t="s">
        <v>215</v>
      </c>
      <c r="C98" s="4" t="s">
        <v>219</v>
      </c>
      <c r="D98" s="4" t="s">
        <v>217</v>
      </c>
      <c r="E98" s="3" t="s">
        <v>54</v>
      </c>
      <c r="F98" s="3" t="n">
        <v>701</v>
      </c>
      <c r="G98" s="4" t="s">
        <v>46</v>
      </c>
      <c r="H98" s="5" t="n">
        <v>90000</v>
      </c>
      <c r="I98" s="3" t="s">
        <v>25</v>
      </c>
      <c r="J98" s="6" t="n">
        <v>668</v>
      </c>
      <c r="K98" s="6" t="n">
        <v>658</v>
      </c>
      <c r="L98" s="7" t="n">
        <f aca="false">K98*1.35582</f>
        <v>892.12956</v>
      </c>
      <c r="M98" s="6" t="n">
        <v>4123</v>
      </c>
      <c r="N98" s="7" t="n">
        <f aca="false">M98*0.453592</f>
        <v>1870.159816</v>
      </c>
      <c r="O98" s="3" t="s">
        <v>26</v>
      </c>
      <c r="P98" s="3" t="s">
        <v>27</v>
      </c>
      <c r="Q98" s="8" t="n">
        <f aca="false">J98/M98</f>
        <v>0.162017948096047</v>
      </c>
      <c r="R98" s="8" t="n">
        <f aca="false">J98/N98</f>
        <v>0.357188724880612</v>
      </c>
      <c r="S98" s="4" t="s">
        <v>35</v>
      </c>
    </row>
    <row r="99" customFormat="false" ht="14.25" hidden="false" customHeight="true" outlineLevel="0" collapsed="false">
      <c r="A99" s="3" t="s">
        <v>36</v>
      </c>
      <c r="B99" s="4" t="s">
        <v>215</v>
      </c>
      <c r="C99" s="4" t="s">
        <v>220</v>
      </c>
      <c r="D99" s="4" t="s">
        <v>217</v>
      </c>
      <c r="E99" s="3" t="s">
        <v>70</v>
      </c>
      <c r="F99" s="3" t="n">
        <v>648</v>
      </c>
      <c r="G99" s="4" t="s">
        <v>46</v>
      </c>
      <c r="H99" s="5" t="n">
        <v>60000</v>
      </c>
      <c r="I99" s="3" t="s">
        <v>33</v>
      </c>
      <c r="J99" s="6" t="n">
        <v>640</v>
      </c>
      <c r="K99" s="6" t="n">
        <v>630</v>
      </c>
      <c r="L99" s="7" t="n">
        <f aca="false">K99*1.35582</f>
        <v>854.1666</v>
      </c>
      <c r="M99" s="6" t="n">
        <v>4128</v>
      </c>
      <c r="N99" s="7" t="n">
        <f aca="false">M99*0.453592</f>
        <v>1872.427776</v>
      </c>
      <c r="O99" s="3" t="s">
        <v>26</v>
      </c>
      <c r="P99" s="3" t="s">
        <v>27</v>
      </c>
      <c r="Q99" s="8" t="n">
        <f aca="false">J99/M99</f>
        <v>0.155038759689922</v>
      </c>
      <c r="R99" s="8" t="n">
        <f aca="false">J99/N99</f>
        <v>0.341802235687407</v>
      </c>
      <c r="S99" s="4" t="s">
        <v>35</v>
      </c>
    </row>
    <row r="100" customFormat="false" ht="14.25" hidden="false" customHeight="true" outlineLevel="0" collapsed="false">
      <c r="A100" s="3" t="s">
        <v>106</v>
      </c>
      <c r="B100" s="4" t="s">
        <v>215</v>
      </c>
      <c r="C100" s="4" t="s">
        <v>221</v>
      </c>
      <c r="D100" s="4" t="s">
        <v>78</v>
      </c>
      <c r="E100" s="3" t="s">
        <v>32</v>
      </c>
      <c r="F100" s="3" t="n">
        <v>381</v>
      </c>
      <c r="G100" s="4" t="s">
        <v>46</v>
      </c>
      <c r="H100" s="5" t="n">
        <v>44000</v>
      </c>
      <c r="I100" s="3" t="s">
        <v>25</v>
      </c>
      <c r="J100" s="6" t="n">
        <v>304</v>
      </c>
      <c r="K100" s="6" t="n">
        <v>264</v>
      </c>
      <c r="L100" s="7" t="n">
        <f aca="false">K100*1.35582</f>
        <v>357.93648</v>
      </c>
      <c r="M100" s="6" t="n">
        <v>5500</v>
      </c>
      <c r="N100" s="7" t="n">
        <f aca="false">M100*0.453592</f>
        <v>2494.756</v>
      </c>
      <c r="O100" s="3" t="s">
        <v>47</v>
      </c>
      <c r="P100" s="3" t="s">
        <v>27</v>
      </c>
      <c r="Q100" s="8" t="n">
        <f aca="false">J100/M100</f>
        <v>0.0552727272727273</v>
      </c>
      <c r="R100" s="8" t="n">
        <f aca="false">J100/N100</f>
        <v>0.121855604315612</v>
      </c>
      <c r="S100" s="4" t="s">
        <v>35</v>
      </c>
    </row>
    <row r="101" customFormat="false" ht="14.25" hidden="false" customHeight="true" outlineLevel="0" collapsed="false">
      <c r="A101" s="3" t="s">
        <v>100</v>
      </c>
      <c r="B101" s="4" t="s">
        <v>222</v>
      </c>
      <c r="C101" s="4" t="s">
        <v>223</v>
      </c>
      <c r="D101" s="4" t="s">
        <v>224</v>
      </c>
      <c r="E101" s="3" t="s">
        <v>39</v>
      </c>
      <c r="F101" s="3" t="n">
        <v>568</v>
      </c>
      <c r="G101" s="4" t="s">
        <v>225</v>
      </c>
      <c r="H101" s="5" t="n">
        <v>16000</v>
      </c>
      <c r="I101" s="3" t="s">
        <v>33</v>
      </c>
      <c r="J101" s="6" t="n">
        <v>172</v>
      </c>
      <c r="K101" s="6" t="n">
        <v>124</v>
      </c>
      <c r="L101" s="7" t="n">
        <f aca="false">K101*1.35582</f>
        <v>168.12168</v>
      </c>
      <c r="M101" s="6" t="n">
        <v>1655</v>
      </c>
      <c r="N101" s="7" t="n">
        <f aca="false">M101*0.453592</f>
        <v>750.69476</v>
      </c>
      <c r="O101" s="3" t="s">
        <v>62</v>
      </c>
      <c r="P101" s="3" t="s">
        <v>67</v>
      </c>
      <c r="Q101" s="8" t="n">
        <f aca="false">J101/M101</f>
        <v>0.10392749244713</v>
      </c>
      <c r="R101" s="8" t="n">
        <f aca="false">J101/N101</f>
        <v>0.229121087777408</v>
      </c>
      <c r="S101" s="4" t="s">
        <v>35</v>
      </c>
    </row>
    <row r="102" customFormat="false" ht="14.25" hidden="false" customHeight="true" outlineLevel="0" collapsed="false">
      <c r="A102" s="3" t="s">
        <v>121</v>
      </c>
      <c r="B102" s="4" t="s">
        <v>226</v>
      </c>
      <c r="C102" s="4" t="s">
        <v>227</v>
      </c>
      <c r="D102" s="4" t="s">
        <v>93</v>
      </c>
      <c r="E102" s="3" t="s">
        <v>70</v>
      </c>
      <c r="F102" s="3" t="n">
        <v>641</v>
      </c>
      <c r="G102" s="4" t="s">
        <v>46</v>
      </c>
      <c r="H102" s="5"/>
      <c r="I102" s="3"/>
      <c r="J102" s="6" t="n">
        <v>850</v>
      </c>
      <c r="K102" s="6" t="n">
        <v>650</v>
      </c>
      <c r="L102" s="7" t="n">
        <f aca="false">K102*1.35582</f>
        <v>881.283</v>
      </c>
      <c r="M102" s="6" t="n">
        <v>4850</v>
      </c>
      <c r="N102" s="7" t="n">
        <f aca="false">M102*0.453592</f>
        <v>2199.9212</v>
      </c>
      <c r="O102" s="3"/>
      <c r="P102" s="3"/>
      <c r="Q102" s="8" t="n">
        <f aca="false">J102/M102</f>
        <v>0.175257731958763</v>
      </c>
      <c r="R102" s="8" t="n">
        <f aca="false">J102/N102</f>
        <v>0.386377475702312</v>
      </c>
      <c r="S102" s="4" t="s">
        <v>105</v>
      </c>
    </row>
    <row r="103" customFormat="false" ht="14.25" hidden="false" customHeight="true" outlineLevel="0" collapsed="false">
      <c r="A103" s="3" t="s">
        <v>228</v>
      </c>
      <c r="B103" s="4" t="s">
        <v>229</v>
      </c>
      <c r="C103" s="4" t="s">
        <v>230</v>
      </c>
      <c r="D103" s="4" t="s">
        <v>231</v>
      </c>
      <c r="E103" s="3" t="s">
        <v>32</v>
      </c>
      <c r="F103" s="3" t="n">
        <v>221</v>
      </c>
      <c r="G103" s="4" t="s">
        <v>46</v>
      </c>
      <c r="H103" s="5" t="n">
        <v>140000</v>
      </c>
      <c r="I103" s="3" t="s">
        <v>33</v>
      </c>
      <c r="J103" s="6" t="n">
        <v>162</v>
      </c>
      <c r="K103" s="6" t="n">
        <v>257</v>
      </c>
      <c r="L103" s="7" t="n">
        <f aca="false">K103*1.35582</f>
        <v>348.44574</v>
      </c>
      <c r="M103" s="6" t="n">
        <v>3309</v>
      </c>
      <c r="N103" s="7" t="n">
        <f aca="false">M103*0.453592</f>
        <v>1500.935928</v>
      </c>
      <c r="O103" s="3" t="s">
        <v>26</v>
      </c>
      <c r="P103" s="3" t="s">
        <v>27</v>
      </c>
      <c r="Q103" s="8" t="n">
        <f aca="false">J103/M103</f>
        <v>0.0489573889392566</v>
      </c>
      <c r="R103" s="8" t="n">
        <f aca="false">J103/N103</f>
        <v>0.10793265520392</v>
      </c>
      <c r="S103" s="4" t="s">
        <v>35</v>
      </c>
    </row>
    <row r="104" customFormat="false" ht="14.25" hidden="false" customHeight="true" outlineLevel="0" collapsed="false">
      <c r="A104" s="3" t="s">
        <v>181</v>
      </c>
      <c r="B104" s="4" t="s">
        <v>229</v>
      </c>
      <c r="C104" s="4" t="s">
        <v>232</v>
      </c>
      <c r="D104" s="4" t="s">
        <v>231</v>
      </c>
      <c r="E104" s="3" t="s">
        <v>32</v>
      </c>
      <c r="F104" s="3" t="n">
        <v>320</v>
      </c>
      <c r="G104" s="4" t="s">
        <v>46</v>
      </c>
      <c r="H104" s="5" t="n">
        <v>69000</v>
      </c>
      <c r="I104" s="3" t="s">
        <v>25</v>
      </c>
      <c r="J104" s="6" t="n">
        <v>220</v>
      </c>
      <c r="K104" s="6" t="n">
        <v>300</v>
      </c>
      <c r="L104" s="7" t="n">
        <f aca="false">K104*1.35582</f>
        <v>406.746</v>
      </c>
      <c r="M104" s="6" t="n">
        <v>3337</v>
      </c>
      <c r="N104" s="7" t="n">
        <f aca="false">M104*0.453592</f>
        <v>1513.636504</v>
      </c>
      <c r="O104" s="3" t="s">
        <v>26</v>
      </c>
      <c r="P104" s="3" t="s">
        <v>27</v>
      </c>
      <c r="Q104" s="8" t="n">
        <f aca="false">J104/M104</f>
        <v>0.0659274797722505</v>
      </c>
      <c r="R104" s="8" t="n">
        <f aca="false">J104/N104</f>
        <v>0.145345331867076</v>
      </c>
      <c r="S104" s="4" t="s">
        <v>35</v>
      </c>
    </row>
    <row r="105" customFormat="false" ht="14.25" hidden="false" customHeight="true" outlineLevel="0" collapsed="false">
      <c r="A105" s="3" t="s">
        <v>233</v>
      </c>
      <c r="B105" s="4" t="s">
        <v>229</v>
      </c>
      <c r="C105" s="4" t="s">
        <v>234</v>
      </c>
      <c r="D105" s="4" t="s">
        <v>235</v>
      </c>
      <c r="E105" s="3" t="s">
        <v>23</v>
      </c>
      <c r="F105" s="3" t="n">
        <v>471</v>
      </c>
      <c r="G105" s="4" t="s">
        <v>46</v>
      </c>
      <c r="H105" s="5" t="n">
        <v>75000</v>
      </c>
      <c r="I105" s="3" t="s">
        <v>25</v>
      </c>
      <c r="J105" s="6" t="n">
        <v>375</v>
      </c>
      <c r="K105" s="6" t="n">
        <v>415</v>
      </c>
      <c r="L105" s="7" t="n">
        <f aca="false">K105*1.35582</f>
        <v>562.6653</v>
      </c>
      <c r="M105" s="6" t="n">
        <v>3527</v>
      </c>
      <c r="N105" s="7" t="n">
        <f aca="false">M105*0.453592</f>
        <v>1599.818984</v>
      </c>
      <c r="O105" s="3" t="s">
        <v>26</v>
      </c>
      <c r="P105" s="3" t="s">
        <v>27</v>
      </c>
      <c r="Q105" s="8" t="n">
        <f aca="false">J105/M105</f>
        <v>0.106322653813439</v>
      </c>
      <c r="R105" s="8" t="n">
        <f aca="false">J105/N105</f>
        <v>0.234401519015854</v>
      </c>
      <c r="S105" s="4" t="s">
        <v>35</v>
      </c>
    </row>
    <row r="106" customFormat="false" ht="14.25" hidden="false" customHeight="true" outlineLevel="0" collapsed="false">
      <c r="A106" s="3" t="s">
        <v>94</v>
      </c>
      <c r="B106" s="4" t="s">
        <v>229</v>
      </c>
      <c r="C106" s="4" t="s">
        <v>236</v>
      </c>
      <c r="D106" s="4" t="s">
        <v>171</v>
      </c>
      <c r="E106" s="3" t="s">
        <v>70</v>
      </c>
      <c r="F106" s="3" t="n">
        <v>695</v>
      </c>
      <c r="G106" s="4" t="s">
        <v>46</v>
      </c>
      <c r="H106" s="5" t="n">
        <v>65000</v>
      </c>
      <c r="I106" s="3" t="s">
        <v>25</v>
      </c>
      <c r="J106" s="6" t="n">
        <v>505</v>
      </c>
      <c r="K106" s="6" t="n">
        <v>481</v>
      </c>
      <c r="L106" s="7" t="n">
        <f aca="false">K106*1.35582</f>
        <v>652.14942</v>
      </c>
      <c r="M106" s="6" t="n">
        <v>3837</v>
      </c>
      <c r="N106" s="7" t="n">
        <f aca="false">M106*0.453592</f>
        <v>1740.432504</v>
      </c>
      <c r="O106" s="3" t="s">
        <v>26</v>
      </c>
      <c r="P106" s="3" t="s">
        <v>27</v>
      </c>
      <c r="Q106" s="8" t="n">
        <f aca="false">J106/M106</f>
        <v>0.131613239510034</v>
      </c>
      <c r="R106" s="8" t="n">
        <f aca="false">J106/N106</f>
        <v>0.290157761843317</v>
      </c>
      <c r="S106" s="4" t="s">
        <v>35</v>
      </c>
    </row>
    <row r="107" customFormat="false" ht="14.25" hidden="false" customHeight="true" outlineLevel="0" collapsed="false">
      <c r="A107" s="3" t="s">
        <v>237</v>
      </c>
      <c r="B107" s="4" t="s">
        <v>229</v>
      </c>
      <c r="C107" s="4" t="s">
        <v>238</v>
      </c>
      <c r="D107" s="4" t="s">
        <v>235</v>
      </c>
      <c r="E107" s="3" t="s">
        <v>23</v>
      </c>
      <c r="F107" s="3" t="n">
        <v>430</v>
      </c>
      <c r="G107" s="4" t="s">
        <v>46</v>
      </c>
      <c r="H107" s="5" t="n">
        <v>55000</v>
      </c>
      <c r="I107" s="3" t="s">
        <v>25</v>
      </c>
      <c r="J107" s="6" t="n">
        <v>360</v>
      </c>
      <c r="K107" s="6" t="n">
        <v>380</v>
      </c>
      <c r="L107" s="7" t="n">
        <f aca="false">K107*1.35582</f>
        <v>515.2116</v>
      </c>
      <c r="M107" s="6" t="n">
        <v>3550</v>
      </c>
      <c r="N107" s="7" t="n">
        <f aca="false">M107*0.453592</f>
        <v>1610.2516</v>
      </c>
      <c r="O107" s="3" t="s">
        <v>26</v>
      </c>
      <c r="P107" s="3" t="s">
        <v>27</v>
      </c>
      <c r="Q107" s="8" t="n">
        <f aca="false">J107/M107</f>
        <v>0.101408450704225</v>
      </c>
      <c r="R107" s="8" t="n">
        <f aca="false">J107/N107</f>
        <v>0.223567546835538</v>
      </c>
      <c r="S107" s="4" t="s">
        <v>35</v>
      </c>
    </row>
    <row r="108" customFormat="false" ht="14.25" hidden="false" customHeight="true" outlineLevel="0" collapsed="false">
      <c r="A108" s="3" t="s">
        <v>239</v>
      </c>
      <c r="B108" s="4" t="s">
        <v>229</v>
      </c>
      <c r="C108" s="4" t="s">
        <v>238</v>
      </c>
      <c r="D108" s="4" t="s">
        <v>235</v>
      </c>
      <c r="E108" s="3" t="s">
        <v>32</v>
      </c>
      <c r="F108" s="3" t="n">
        <v>364</v>
      </c>
      <c r="G108" s="4" t="s">
        <v>46</v>
      </c>
      <c r="H108" s="5" t="n">
        <v>20000</v>
      </c>
      <c r="I108" s="3" t="s">
        <v>25</v>
      </c>
      <c r="J108" s="6" t="n">
        <v>175</v>
      </c>
      <c r="K108" s="6" t="n">
        <v>270</v>
      </c>
      <c r="L108" s="7" t="n">
        <f aca="false">K108*1.35582</f>
        <v>366.0714</v>
      </c>
      <c r="M108" s="6" t="n">
        <v>3560</v>
      </c>
      <c r="N108" s="7" t="n">
        <f aca="false">M108*0.453592</f>
        <v>1614.78752</v>
      </c>
      <c r="O108" s="3" t="s">
        <v>26</v>
      </c>
      <c r="P108" s="3" t="s">
        <v>27</v>
      </c>
      <c r="Q108" s="8" t="n">
        <f aca="false">J108/M108</f>
        <v>0.0491573033707865</v>
      </c>
      <c r="R108" s="8" t="n">
        <f aca="false">J108/N108</f>
        <v>0.108373391441618</v>
      </c>
      <c r="S108" s="4" t="s">
        <v>35</v>
      </c>
    </row>
    <row r="109" customFormat="false" ht="14.25" hidden="false" customHeight="true" outlineLevel="0" collapsed="false">
      <c r="A109" s="3" t="s">
        <v>19</v>
      </c>
      <c r="B109" s="4" t="s">
        <v>229</v>
      </c>
      <c r="C109" s="4" t="s">
        <v>240</v>
      </c>
      <c r="D109" s="4" t="s">
        <v>217</v>
      </c>
      <c r="E109" s="3" t="s">
        <v>54</v>
      </c>
      <c r="F109" s="3" t="n">
        <v>727</v>
      </c>
      <c r="G109" s="4" t="s">
        <v>46</v>
      </c>
      <c r="H109" s="5" t="n">
        <v>55000</v>
      </c>
      <c r="I109" s="3" t="s">
        <v>25</v>
      </c>
      <c r="J109" s="6" t="n">
        <v>650</v>
      </c>
      <c r="K109" s="6" t="n">
        <v>650</v>
      </c>
      <c r="L109" s="7" t="n">
        <f aca="false">K109*1.35582</f>
        <v>881.283</v>
      </c>
      <c r="M109" s="6" t="n">
        <v>3883</v>
      </c>
      <c r="N109" s="7" t="n">
        <f aca="false">M109*0.453592</f>
        <v>1761.297736</v>
      </c>
      <c r="O109" s="3" t="s">
        <v>26</v>
      </c>
      <c r="P109" s="3" t="s">
        <v>27</v>
      </c>
      <c r="Q109" s="8" t="n">
        <f aca="false">J109/M109</f>
        <v>0.167396343033737</v>
      </c>
      <c r="R109" s="8" t="n">
        <f aca="false">J109/N109</f>
        <v>0.369046065701637</v>
      </c>
      <c r="S109" s="4" t="s">
        <v>35</v>
      </c>
    </row>
    <row r="110" customFormat="false" ht="14.25" hidden="false" customHeight="true" outlineLevel="0" collapsed="false">
      <c r="A110" s="3" t="s">
        <v>207</v>
      </c>
      <c r="B110" s="4" t="s">
        <v>229</v>
      </c>
      <c r="C110" s="4" t="s">
        <v>240</v>
      </c>
      <c r="D110" s="4" t="s">
        <v>217</v>
      </c>
      <c r="E110" s="3" t="s">
        <v>54</v>
      </c>
      <c r="F110" s="3" t="n">
        <v>718</v>
      </c>
      <c r="G110" s="4" t="s">
        <v>46</v>
      </c>
      <c r="H110" s="5"/>
      <c r="I110" s="3"/>
      <c r="J110" s="6" t="n">
        <v>650</v>
      </c>
      <c r="K110" s="6" t="n">
        <v>650</v>
      </c>
      <c r="L110" s="7" t="n">
        <f aca="false">K110*1.35582</f>
        <v>881.283</v>
      </c>
      <c r="M110" s="6" t="n">
        <v>3907</v>
      </c>
      <c r="N110" s="7" t="n">
        <f aca="false">M110*0.453592</f>
        <v>1772.183944</v>
      </c>
      <c r="O110" s="3"/>
      <c r="P110" s="3"/>
      <c r="Q110" s="8" t="n">
        <f aca="false">J110/M110</f>
        <v>0.166368057332992</v>
      </c>
      <c r="R110" s="8" t="n">
        <f aca="false">J110/N110</f>
        <v>0.366779081934849</v>
      </c>
      <c r="S110" s="4" t="s">
        <v>28</v>
      </c>
    </row>
    <row r="111" customFormat="false" ht="14.25" hidden="false" customHeight="true" outlineLevel="0" collapsed="false">
      <c r="A111" s="3" t="s">
        <v>100</v>
      </c>
      <c r="B111" s="4" t="s">
        <v>229</v>
      </c>
      <c r="C111" s="4" t="s">
        <v>241</v>
      </c>
      <c r="D111" s="4" t="s">
        <v>171</v>
      </c>
      <c r="E111" s="3" t="s">
        <v>54</v>
      </c>
      <c r="F111" s="3" t="n">
        <v>728</v>
      </c>
      <c r="G111" s="4" t="s">
        <v>46</v>
      </c>
      <c r="H111" s="5" t="n">
        <v>70000</v>
      </c>
      <c r="I111" s="3" t="s">
        <v>25</v>
      </c>
      <c r="J111" s="6" t="n">
        <v>650</v>
      </c>
      <c r="K111" s="6" t="n">
        <v>650</v>
      </c>
      <c r="L111" s="7" t="n">
        <f aca="false">K111*1.35582</f>
        <v>881.283</v>
      </c>
      <c r="M111" s="6" t="n">
        <v>3837</v>
      </c>
      <c r="N111" s="7" t="n">
        <f aca="false">M111*0.453592</f>
        <v>1740.432504</v>
      </c>
      <c r="O111" s="3" t="s">
        <v>26</v>
      </c>
      <c r="P111" s="3" t="s">
        <v>27</v>
      </c>
      <c r="Q111" s="8" t="n">
        <f aca="false">J111/M111</f>
        <v>0.16940317956737</v>
      </c>
      <c r="R111" s="8" t="n">
        <f aca="false">J111/N111</f>
        <v>0.373470386531002</v>
      </c>
      <c r="S111" s="4" t="s">
        <v>35</v>
      </c>
    </row>
    <row r="112" customFormat="false" ht="14.25" hidden="false" customHeight="true" outlineLevel="0" collapsed="false">
      <c r="A112" s="3" t="s">
        <v>237</v>
      </c>
      <c r="B112" s="4" t="s">
        <v>229</v>
      </c>
      <c r="C112" s="4" t="s">
        <v>242</v>
      </c>
      <c r="D112" s="4" t="s">
        <v>235</v>
      </c>
      <c r="E112" s="3" t="s">
        <v>23</v>
      </c>
      <c r="F112" s="3" t="n">
        <v>424</v>
      </c>
      <c r="G112" s="4" t="s">
        <v>46</v>
      </c>
      <c r="H112" s="5" t="n">
        <v>90000</v>
      </c>
      <c r="I112" s="3" t="s">
        <v>25</v>
      </c>
      <c r="J112" s="6" t="n">
        <v>450</v>
      </c>
      <c r="K112" s="6" t="n">
        <v>500</v>
      </c>
      <c r="L112" s="7" t="n">
        <f aca="false">K112*1.35582</f>
        <v>677.91</v>
      </c>
      <c r="M112" s="6" t="n">
        <v>3799</v>
      </c>
      <c r="N112" s="7" t="n">
        <f aca="false">M112*0.453592</f>
        <v>1723.196008</v>
      </c>
      <c r="O112" s="3" t="s">
        <v>26</v>
      </c>
      <c r="P112" s="3" t="s">
        <v>27</v>
      </c>
      <c r="Q112" s="8" t="n">
        <f aca="false">J112/M112</f>
        <v>0.118452224269545</v>
      </c>
      <c r="R112" s="8" t="n">
        <f aca="false">J112/N112</f>
        <v>0.261142666249724</v>
      </c>
      <c r="S112" s="4" t="s">
        <v>35</v>
      </c>
    </row>
    <row r="113" customFormat="false" ht="14.25" hidden="false" customHeight="true" outlineLevel="0" collapsed="false">
      <c r="A113" s="3" t="s">
        <v>243</v>
      </c>
      <c r="B113" s="4" t="s">
        <v>229</v>
      </c>
      <c r="C113" s="4" t="s">
        <v>244</v>
      </c>
      <c r="D113" s="4" t="s">
        <v>163</v>
      </c>
      <c r="E113" s="3" t="s">
        <v>32</v>
      </c>
      <c r="F113" s="3" t="n">
        <v>270</v>
      </c>
      <c r="G113" s="4" t="s">
        <v>46</v>
      </c>
      <c r="H113" s="5" t="n">
        <v>269000</v>
      </c>
      <c r="I113" s="3" t="s">
        <v>66</v>
      </c>
      <c r="J113" s="6" t="n">
        <v>160</v>
      </c>
      <c r="K113" s="6" t="n">
        <v>223</v>
      </c>
      <c r="L113" s="7" t="n">
        <f aca="false">K113*1.35582</f>
        <v>302.34786</v>
      </c>
      <c r="M113" s="6" t="n">
        <v>2900</v>
      </c>
      <c r="N113" s="7" t="n">
        <f aca="false">M113*0.453592</f>
        <v>1315.4168</v>
      </c>
      <c r="O113" s="3" t="s">
        <v>26</v>
      </c>
      <c r="P113" s="3" t="s">
        <v>27</v>
      </c>
      <c r="Q113" s="8" t="n">
        <f aca="false">J113/M113</f>
        <v>0.0551724137931035</v>
      </c>
      <c r="R113" s="8" t="n">
        <f aca="false">J113/N113</f>
        <v>0.12163445076876</v>
      </c>
      <c r="S113" s="4" t="s">
        <v>35</v>
      </c>
    </row>
    <row r="114" customFormat="false" ht="14.25" hidden="false" customHeight="true" outlineLevel="0" collapsed="false">
      <c r="A114" s="3" t="s">
        <v>245</v>
      </c>
      <c r="B114" s="4" t="s">
        <v>229</v>
      </c>
      <c r="C114" s="4" t="s">
        <v>244</v>
      </c>
      <c r="D114" s="4" t="s">
        <v>163</v>
      </c>
      <c r="E114" s="3" t="s">
        <v>23</v>
      </c>
      <c r="F114" s="3" t="n">
        <v>428</v>
      </c>
      <c r="G114" s="4" t="s">
        <v>46</v>
      </c>
      <c r="H114" s="5"/>
      <c r="I114" s="3"/>
      <c r="J114" s="6" t="n">
        <v>290</v>
      </c>
      <c r="K114" s="6" t="n">
        <v>290</v>
      </c>
      <c r="L114" s="7" t="n">
        <f aca="false">K114*1.35582</f>
        <v>393.1878</v>
      </c>
      <c r="M114" s="6" t="n">
        <v>3080</v>
      </c>
      <c r="N114" s="7" t="n">
        <f aca="false">M114*0.453592</f>
        <v>1397.06336</v>
      </c>
      <c r="O114" s="3"/>
      <c r="P114" s="3"/>
      <c r="Q114" s="8" t="n">
        <f aca="false">J114/M114</f>
        <v>0.0941558441558442</v>
      </c>
      <c r="R114" s="8" t="n">
        <f aca="false">J114/N114</f>
        <v>0.207578273328992</v>
      </c>
      <c r="S114" s="4" t="s">
        <v>105</v>
      </c>
    </row>
    <row r="115" customFormat="false" ht="14.25" hidden="false" customHeight="true" outlineLevel="0" collapsed="false">
      <c r="A115" s="3" t="s">
        <v>207</v>
      </c>
      <c r="B115" s="4" t="s">
        <v>229</v>
      </c>
      <c r="C115" s="4" t="s">
        <v>246</v>
      </c>
      <c r="D115" s="4" t="s">
        <v>53</v>
      </c>
      <c r="E115" s="3" t="s">
        <v>54</v>
      </c>
      <c r="F115" s="3" t="n">
        <v>737</v>
      </c>
      <c r="G115" s="4" t="s">
        <v>46</v>
      </c>
      <c r="H115" s="5" t="n">
        <v>114000</v>
      </c>
      <c r="I115" s="3" t="s">
        <v>55</v>
      </c>
      <c r="J115" s="6" t="n">
        <v>645</v>
      </c>
      <c r="K115" s="6" t="n">
        <v>591</v>
      </c>
      <c r="L115" s="7" t="n">
        <f aca="false">K115*1.35582</f>
        <v>801.28962</v>
      </c>
      <c r="M115" s="6" t="n">
        <v>3890</v>
      </c>
      <c r="N115" s="7" t="n">
        <f aca="false">M115*0.453592</f>
        <v>1764.47288</v>
      </c>
      <c r="O115" s="3" t="s">
        <v>62</v>
      </c>
      <c r="P115" s="3" t="s">
        <v>67</v>
      </c>
      <c r="Q115" s="8" t="n">
        <f aca="false">J115/M115</f>
        <v>0.165809768637532</v>
      </c>
      <c r="R115" s="8" t="n">
        <f aca="false">J115/N115</f>
        <v>0.365548265043326</v>
      </c>
      <c r="S115" s="4" t="s">
        <v>131</v>
      </c>
    </row>
    <row r="116" customFormat="false" ht="14.25" hidden="false" customHeight="true" outlineLevel="0" collapsed="false">
      <c r="A116" s="3" t="s">
        <v>247</v>
      </c>
      <c r="B116" s="4" t="s">
        <v>229</v>
      </c>
      <c r="C116" s="4" t="s">
        <v>248</v>
      </c>
      <c r="D116" s="4" t="s">
        <v>235</v>
      </c>
      <c r="E116" s="3" t="s">
        <v>39</v>
      </c>
      <c r="F116" s="3" t="n">
        <v>510</v>
      </c>
      <c r="G116" s="4" t="s">
        <v>46</v>
      </c>
      <c r="H116" s="5"/>
      <c r="I116" s="3"/>
      <c r="J116" s="6" t="n">
        <v>435</v>
      </c>
      <c r="K116" s="6" t="n">
        <v>460</v>
      </c>
      <c r="L116" s="7" t="n">
        <f aca="false">K116*1.35582</f>
        <v>623.6772</v>
      </c>
      <c r="M116" s="6" t="n">
        <v>3384</v>
      </c>
      <c r="N116" s="7" t="n">
        <f aca="false">M116*0.453592</f>
        <v>1534.955328</v>
      </c>
      <c r="O116" s="3"/>
      <c r="P116" s="3"/>
      <c r="Q116" s="8" t="n">
        <f aca="false">J116/M116</f>
        <v>0.12854609929078</v>
      </c>
      <c r="R116" s="8" t="n">
        <f aca="false">J116/N116</f>
        <v>0.283395869615822</v>
      </c>
      <c r="S116" s="4" t="s">
        <v>84</v>
      </c>
    </row>
    <row r="117" customFormat="false" ht="14.25" hidden="false" customHeight="true" outlineLevel="0" collapsed="false">
      <c r="A117" s="3" t="s">
        <v>141</v>
      </c>
      <c r="B117" s="4" t="s">
        <v>229</v>
      </c>
      <c r="C117" s="4" t="s">
        <v>249</v>
      </c>
      <c r="D117" s="4" t="s">
        <v>53</v>
      </c>
      <c r="E117" s="3" t="s">
        <v>70</v>
      </c>
      <c r="F117" s="3" t="n">
        <v>700</v>
      </c>
      <c r="G117" s="4" t="s">
        <v>46</v>
      </c>
      <c r="H117" s="5" t="n">
        <v>65000</v>
      </c>
      <c r="I117" s="3" t="s">
        <v>25</v>
      </c>
      <c r="J117" s="6" t="n">
        <v>495</v>
      </c>
      <c r="K117" s="6" t="n">
        <v>469</v>
      </c>
      <c r="L117" s="7" t="n">
        <f aca="false">K117*1.35582</f>
        <v>635.87958</v>
      </c>
      <c r="M117" s="6" t="n">
        <v>3577</v>
      </c>
      <c r="N117" s="7" t="n">
        <f aca="false">M117*0.453592</f>
        <v>1622.498584</v>
      </c>
      <c r="O117" s="3" t="s">
        <v>26</v>
      </c>
      <c r="P117" s="3" t="s">
        <v>67</v>
      </c>
      <c r="Q117" s="8" t="n">
        <f aca="false">J117/M117</f>
        <v>0.138384120771596</v>
      </c>
      <c r="R117" s="8" t="n">
        <f aca="false">J117/N117</f>
        <v>0.305085012018722</v>
      </c>
      <c r="S117" s="4" t="s">
        <v>35</v>
      </c>
    </row>
    <row r="118" customFormat="false" ht="14.25" hidden="false" customHeight="true" outlineLevel="0" collapsed="false">
      <c r="A118" s="3" t="s">
        <v>56</v>
      </c>
      <c r="B118" s="4" t="s">
        <v>229</v>
      </c>
      <c r="C118" s="4" t="s">
        <v>250</v>
      </c>
      <c r="D118" s="4" t="s">
        <v>214</v>
      </c>
      <c r="E118" s="3" t="s">
        <v>70</v>
      </c>
      <c r="F118" s="3" t="n">
        <v>602</v>
      </c>
      <c r="G118" s="4" t="s">
        <v>46</v>
      </c>
      <c r="H118" s="5" t="n">
        <v>33000</v>
      </c>
      <c r="I118" s="3" t="s">
        <v>33</v>
      </c>
      <c r="J118" s="6" t="n">
        <v>405</v>
      </c>
      <c r="K118" s="6" t="n">
        <v>400</v>
      </c>
      <c r="L118" s="7" t="n">
        <f aca="false">K118*1.35582</f>
        <v>542.328</v>
      </c>
      <c r="M118" s="6" t="n">
        <v>3120</v>
      </c>
      <c r="N118" s="7" t="n">
        <f aca="false">M118*0.453592</f>
        <v>1415.20704</v>
      </c>
      <c r="O118" s="3" t="s">
        <v>26</v>
      </c>
      <c r="P118" s="3" t="s">
        <v>27</v>
      </c>
      <c r="Q118" s="8" t="n">
        <f aca="false">J118/M118</f>
        <v>0.129807692307692</v>
      </c>
      <c r="R118" s="8" t="n">
        <f aca="false">J118/N118</f>
        <v>0.28617720838924</v>
      </c>
      <c r="S118" s="4" t="s">
        <v>35</v>
      </c>
    </row>
    <row r="119" customFormat="false" ht="14.25" hidden="false" customHeight="true" outlineLevel="0" collapsed="false">
      <c r="A119" s="3" t="s">
        <v>94</v>
      </c>
      <c r="B119" s="4" t="s">
        <v>229</v>
      </c>
      <c r="C119" s="4" t="s">
        <v>250</v>
      </c>
      <c r="D119" s="4" t="s">
        <v>217</v>
      </c>
      <c r="E119" s="3" t="s">
        <v>54</v>
      </c>
      <c r="F119" s="3" t="n">
        <v>755</v>
      </c>
      <c r="G119" s="4" t="s">
        <v>46</v>
      </c>
      <c r="H119" s="5" t="n">
        <v>100000</v>
      </c>
      <c r="I119" s="3" t="s">
        <v>25</v>
      </c>
      <c r="J119" s="6" t="n">
        <v>650</v>
      </c>
      <c r="K119" s="6" t="n">
        <v>650</v>
      </c>
      <c r="L119" s="7" t="n">
        <f aca="false">K119*1.35582</f>
        <v>881.283</v>
      </c>
      <c r="M119" s="6" t="n">
        <v>3536</v>
      </c>
      <c r="N119" s="7" t="n">
        <f aca="false">M119*0.453592</f>
        <v>1603.901312</v>
      </c>
      <c r="O119" s="3" t="s">
        <v>26</v>
      </c>
      <c r="P119" s="3" t="s">
        <v>27</v>
      </c>
      <c r="Q119" s="8" t="n">
        <f aca="false">J119/M119</f>
        <v>0.183823529411765</v>
      </c>
      <c r="R119" s="8" t="n">
        <f aca="false">J119/N119</f>
        <v>0.405261841945547</v>
      </c>
      <c r="S119" s="4" t="s">
        <v>35</v>
      </c>
    </row>
    <row r="120" customFormat="false" ht="14.25" hidden="false" customHeight="true" outlineLevel="0" collapsed="false">
      <c r="A120" s="3" t="s">
        <v>43</v>
      </c>
      <c r="B120" s="4" t="s">
        <v>229</v>
      </c>
      <c r="C120" s="4" t="s">
        <v>250</v>
      </c>
      <c r="D120" s="4" t="s">
        <v>171</v>
      </c>
      <c r="E120" s="3" t="s">
        <v>54</v>
      </c>
      <c r="F120" s="3" t="n">
        <v>763</v>
      </c>
      <c r="G120" s="4" t="s">
        <v>46</v>
      </c>
      <c r="H120" s="5" t="n">
        <v>155000</v>
      </c>
      <c r="I120" s="3" t="s">
        <v>55</v>
      </c>
      <c r="J120" s="6" t="n">
        <v>670</v>
      </c>
      <c r="K120" s="6" t="n">
        <v>460</v>
      </c>
      <c r="L120" s="7" t="n">
        <f aca="false">K120*1.35582</f>
        <v>623.6772</v>
      </c>
      <c r="M120" s="6" t="n">
        <v>3557</v>
      </c>
      <c r="N120" s="7" t="n">
        <f aca="false">M120*0.453592</f>
        <v>1613.426744</v>
      </c>
      <c r="O120" s="3" t="s">
        <v>26</v>
      </c>
      <c r="P120" s="3" t="s">
        <v>67</v>
      </c>
      <c r="Q120" s="8" t="n">
        <f aca="false">J120/M120</f>
        <v>0.188360978352544</v>
      </c>
      <c r="R120" s="8" t="n">
        <f aca="false">J120/N120</f>
        <v>0.415265212685727</v>
      </c>
      <c r="S120" s="4" t="s">
        <v>35</v>
      </c>
    </row>
    <row r="121" customFormat="false" ht="14.25" hidden="false" customHeight="true" outlineLevel="0" collapsed="false">
      <c r="A121" s="3" t="s">
        <v>237</v>
      </c>
      <c r="B121" s="4" t="s">
        <v>229</v>
      </c>
      <c r="C121" s="4" t="s">
        <v>251</v>
      </c>
      <c r="D121" s="4" t="s">
        <v>235</v>
      </c>
      <c r="E121" s="3" t="s">
        <v>23</v>
      </c>
      <c r="F121" s="3" t="n">
        <v>497</v>
      </c>
      <c r="G121" s="4" t="s">
        <v>46</v>
      </c>
      <c r="H121" s="5" t="n">
        <v>250000</v>
      </c>
      <c r="I121" s="3" t="s">
        <v>55</v>
      </c>
      <c r="J121" s="6" t="n">
        <v>370</v>
      </c>
      <c r="K121" s="6" t="n">
        <v>380</v>
      </c>
      <c r="L121" s="7" t="n">
        <f aca="false">K121*1.35582</f>
        <v>515.2116</v>
      </c>
      <c r="M121" s="6" t="n">
        <v>3373</v>
      </c>
      <c r="N121" s="7" t="n">
        <f aca="false">M121*0.453592</f>
        <v>1529.965816</v>
      </c>
      <c r="O121" s="3" t="s">
        <v>26</v>
      </c>
      <c r="P121" s="3" t="s">
        <v>27</v>
      </c>
      <c r="Q121" s="8" t="n">
        <f aca="false">J121/M121</f>
        <v>0.109694633857101</v>
      </c>
      <c r="R121" s="8" t="n">
        <f aca="false">J121/N121</f>
        <v>0.241835468564482</v>
      </c>
      <c r="S121" s="4" t="s">
        <v>35</v>
      </c>
    </row>
    <row r="122" customFormat="false" ht="14.25" hidden="false" customHeight="true" outlineLevel="0" collapsed="false">
      <c r="A122" s="3" t="s">
        <v>178</v>
      </c>
      <c r="B122" s="4" t="s">
        <v>229</v>
      </c>
      <c r="C122" s="4" t="s">
        <v>251</v>
      </c>
      <c r="D122" s="4" t="s">
        <v>214</v>
      </c>
      <c r="E122" s="3" t="s">
        <v>39</v>
      </c>
      <c r="F122" s="3" t="n">
        <v>576</v>
      </c>
      <c r="G122" s="4" t="s">
        <v>46</v>
      </c>
      <c r="H122" s="5" t="n">
        <v>76000</v>
      </c>
      <c r="I122" s="3" t="s">
        <v>33</v>
      </c>
      <c r="J122" s="6" t="n">
        <v>405</v>
      </c>
      <c r="K122" s="6" t="n">
        <v>385</v>
      </c>
      <c r="L122" s="7" t="n">
        <f aca="false">K122*1.35582</f>
        <v>521.9907</v>
      </c>
      <c r="M122" s="6" t="n">
        <v>3505</v>
      </c>
      <c r="N122" s="7" t="n">
        <f aca="false">M122*0.453592</f>
        <v>1589.83996</v>
      </c>
      <c r="O122" s="3" t="s">
        <v>26</v>
      </c>
      <c r="P122" s="3" t="s">
        <v>27</v>
      </c>
      <c r="Q122" s="8" t="n">
        <f aca="false">J122/M122</f>
        <v>0.115549215406562</v>
      </c>
      <c r="R122" s="8" t="n">
        <f aca="false">J122/N122</f>
        <v>0.254742622018382</v>
      </c>
      <c r="S122" s="4" t="s">
        <v>35</v>
      </c>
    </row>
    <row r="123" customFormat="false" ht="14.25" hidden="false" customHeight="true" outlineLevel="0" collapsed="false">
      <c r="A123" s="3" t="s">
        <v>139</v>
      </c>
      <c r="B123" s="4" t="s">
        <v>229</v>
      </c>
      <c r="C123" s="4" t="s">
        <v>252</v>
      </c>
      <c r="D123" s="4" t="s">
        <v>217</v>
      </c>
      <c r="E123" s="3" t="s">
        <v>54</v>
      </c>
      <c r="F123" s="3" t="n">
        <v>712</v>
      </c>
      <c r="G123" s="4" t="s">
        <v>46</v>
      </c>
      <c r="H123" s="5" t="n">
        <v>125000</v>
      </c>
      <c r="I123" s="3" t="s">
        <v>25</v>
      </c>
      <c r="J123" s="6" t="n">
        <v>638</v>
      </c>
      <c r="K123" s="6" t="n">
        <v>604</v>
      </c>
      <c r="L123" s="7" t="n">
        <f aca="false">K123*1.35582</f>
        <v>818.91528</v>
      </c>
      <c r="M123" s="6" t="n">
        <v>3350</v>
      </c>
      <c r="N123" s="7" t="n">
        <f aca="false">M123*0.453592</f>
        <v>1519.5332</v>
      </c>
      <c r="O123" s="3" t="s">
        <v>26</v>
      </c>
      <c r="P123" s="3" t="s">
        <v>27</v>
      </c>
      <c r="Q123" s="8" t="n">
        <f aca="false">J123/M123</f>
        <v>0.19044776119403</v>
      </c>
      <c r="R123" s="8" t="n">
        <f aca="false">J123/N123</f>
        <v>0.419865785097687</v>
      </c>
      <c r="S123" s="4" t="s">
        <v>35</v>
      </c>
    </row>
    <row r="124" customFormat="false" ht="14.25" hidden="false" customHeight="true" outlineLevel="0" collapsed="false">
      <c r="A124" s="3" t="s">
        <v>121</v>
      </c>
      <c r="B124" s="4" t="s">
        <v>229</v>
      </c>
      <c r="C124" s="4" t="s">
        <v>252</v>
      </c>
      <c r="D124" s="4" t="s">
        <v>171</v>
      </c>
      <c r="E124" s="3" t="s">
        <v>54</v>
      </c>
      <c r="F124" s="3" t="n">
        <v>778</v>
      </c>
      <c r="G124" s="4" t="s">
        <v>46</v>
      </c>
      <c r="H124" s="5"/>
      <c r="I124" s="3"/>
      <c r="J124" s="6" t="n">
        <v>755</v>
      </c>
      <c r="K124" s="6" t="n">
        <v>715</v>
      </c>
      <c r="L124" s="7" t="n">
        <f aca="false">K124*1.35582</f>
        <v>969.4113</v>
      </c>
      <c r="M124" s="6" t="n">
        <v>3560</v>
      </c>
      <c r="N124" s="7" t="n">
        <f aca="false">M124*0.453592</f>
        <v>1614.78752</v>
      </c>
      <c r="O124" s="3"/>
      <c r="P124" s="3"/>
      <c r="Q124" s="8" t="n">
        <f aca="false">J124/M124</f>
        <v>0.212078651685393</v>
      </c>
      <c r="R124" s="8" t="n">
        <f aca="false">J124/N124</f>
        <v>0.467553774505267</v>
      </c>
      <c r="S124" s="4" t="s">
        <v>105</v>
      </c>
    </row>
    <row r="125" customFormat="false" ht="14.25" hidden="false" customHeight="true" outlineLevel="0" collapsed="false">
      <c r="A125" s="3" t="s">
        <v>237</v>
      </c>
      <c r="B125" s="4" t="s">
        <v>229</v>
      </c>
      <c r="C125" s="4" t="s">
        <v>253</v>
      </c>
      <c r="D125" s="4" t="s">
        <v>254</v>
      </c>
      <c r="E125" s="3" t="s">
        <v>23</v>
      </c>
      <c r="F125" s="3" t="n">
        <v>430</v>
      </c>
      <c r="G125" s="4" t="s">
        <v>46</v>
      </c>
      <c r="H125" s="5" t="n">
        <v>36000</v>
      </c>
      <c r="I125" s="3" t="s">
        <v>25</v>
      </c>
      <c r="J125" s="6" t="n">
        <v>450</v>
      </c>
      <c r="K125" s="6" t="n">
        <v>500</v>
      </c>
      <c r="L125" s="7" t="n">
        <f aca="false">K125*1.35582</f>
        <v>677.91</v>
      </c>
      <c r="M125" s="6" t="n">
        <v>3820</v>
      </c>
      <c r="N125" s="7" t="n">
        <f aca="false">M125*0.453592</f>
        <v>1732.72144</v>
      </c>
      <c r="O125" s="3" t="s">
        <v>26</v>
      </c>
      <c r="P125" s="3" t="s">
        <v>27</v>
      </c>
      <c r="Q125" s="8" t="n">
        <f aca="false">J125/M125</f>
        <v>0.117801047120419</v>
      </c>
      <c r="R125" s="8" t="n">
        <f aca="false">J125/N125</f>
        <v>0.259707065204895</v>
      </c>
      <c r="S125" s="4" t="s">
        <v>35</v>
      </c>
    </row>
    <row r="126" customFormat="false" ht="14.25" hidden="false" customHeight="true" outlineLevel="0" collapsed="false">
      <c r="A126" s="3" t="s">
        <v>255</v>
      </c>
      <c r="B126" s="4" t="s">
        <v>229</v>
      </c>
      <c r="C126" s="4" t="s">
        <v>256</v>
      </c>
      <c r="D126" s="4" t="s">
        <v>214</v>
      </c>
      <c r="E126" s="3" t="s">
        <v>23</v>
      </c>
      <c r="F126" s="3" t="n">
        <v>407</v>
      </c>
      <c r="G126" s="4" t="s">
        <v>46</v>
      </c>
      <c r="H126" s="5" t="n">
        <v>30000</v>
      </c>
      <c r="I126" s="3" t="s">
        <v>33</v>
      </c>
      <c r="J126" s="6" t="n">
        <v>260</v>
      </c>
      <c r="K126" s="6" t="n">
        <v>330</v>
      </c>
      <c r="L126" s="7" t="n">
        <f aca="false">K126*1.35582</f>
        <v>447.4206</v>
      </c>
      <c r="M126" s="6" t="n">
        <v>4037</v>
      </c>
      <c r="N126" s="7" t="n">
        <f aca="false">M126*0.453592</f>
        <v>1831.150904</v>
      </c>
      <c r="O126" s="3" t="s">
        <v>26</v>
      </c>
      <c r="P126" s="3" t="s">
        <v>27</v>
      </c>
      <c r="Q126" s="8" t="n">
        <f aca="false">J126/M126</f>
        <v>0.0644042605895467</v>
      </c>
      <c r="R126" s="8" t="n">
        <f aca="false">J126/N126</f>
        <v>0.141987205659594</v>
      </c>
      <c r="S126" s="4" t="s">
        <v>35</v>
      </c>
    </row>
    <row r="127" customFormat="false" ht="14.25" hidden="false" customHeight="true" outlineLevel="0" collapsed="false">
      <c r="A127" s="3" t="s">
        <v>116</v>
      </c>
      <c r="B127" s="4" t="s">
        <v>229</v>
      </c>
      <c r="C127" s="4" t="s">
        <v>257</v>
      </c>
      <c r="D127" s="4" t="s">
        <v>231</v>
      </c>
      <c r="E127" s="3" t="s">
        <v>23</v>
      </c>
      <c r="F127" s="3" t="n">
        <v>427</v>
      </c>
      <c r="G127" s="4" t="s">
        <v>46</v>
      </c>
      <c r="H127" s="5" t="n">
        <v>70000</v>
      </c>
      <c r="I127" s="3" t="s">
        <v>33</v>
      </c>
      <c r="J127" s="6" t="n">
        <v>425</v>
      </c>
      <c r="K127" s="6" t="n">
        <v>425</v>
      </c>
      <c r="L127" s="7" t="n">
        <f aca="false">K127*1.35582</f>
        <v>576.2235</v>
      </c>
      <c r="M127" s="6" t="n">
        <v>3877</v>
      </c>
      <c r="N127" s="7" t="n">
        <f aca="false">M127*0.453592</f>
        <v>1758.576184</v>
      </c>
      <c r="O127" s="3" t="s">
        <v>26</v>
      </c>
      <c r="P127" s="3" t="s">
        <v>27</v>
      </c>
      <c r="Q127" s="8" t="n">
        <f aca="false">J127/M127</f>
        <v>0.109620840856332</v>
      </c>
      <c r="R127" s="8" t="n">
        <f aca="false">J127/N127</f>
        <v>0.24167278271295</v>
      </c>
      <c r="S127" s="4" t="s">
        <v>35</v>
      </c>
    </row>
    <row r="128" customFormat="false" ht="14.25" hidden="false" customHeight="true" outlineLevel="0" collapsed="false">
      <c r="A128" s="3" t="s">
        <v>258</v>
      </c>
      <c r="B128" s="4" t="s">
        <v>229</v>
      </c>
      <c r="C128" s="4" t="s">
        <v>259</v>
      </c>
      <c r="D128" s="4" t="s">
        <v>260</v>
      </c>
      <c r="E128" s="3" t="s">
        <v>32</v>
      </c>
      <c r="F128" s="3" t="n">
        <v>268</v>
      </c>
      <c r="G128" s="4" t="s">
        <v>46</v>
      </c>
      <c r="H128" s="5" t="n">
        <v>49000</v>
      </c>
      <c r="I128" s="3" t="s">
        <v>33</v>
      </c>
      <c r="J128" s="6" t="n">
        <v>175</v>
      </c>
      <c r="K128" s="6" t="n">
        <v>290</v>
      </c>
      <c r="L128" s="7" t="n">
        <f aca="false">K128*1.35582</f>
        <v>393.1878</v>
      </c>
      <c r="M128" s="6" t="n">
        <v>3936</v>
      </c>
      <c r="N128" s="7" t="n">
        <f aca="false">M128*0.453592</f>
        <v>1785.338112</v>
      </c>
      <c r="O128" s="3" t="s">
        <v>62</v>
      </c>
      <c r="P128" s="3" t="s">
        <v>27</v>
      </c>
      <c r="Q128" s="8" t="n">
        <f aca="false">J128/M128</f>
        <v>0.0444613821138211</v>
      </c>
      <c r="R128" s="8" t="n">
        <f aca="false">J128/N128</f>
        <v>0.0980206487632523</v>
      </c>
      <c r="S128" s="4" t="s">
        <v>35</v>
      </c>
    </row>
    <row r="129" customFormat="false" ht="14.25" hidden="false" customHeight="true" outlineLevel="0" collapsed="false">
      <c r="A129" s="3" t="s">
        <v>192</v>
      </c>
      <c r="B129" s="4" t="s">
        <v>229</v>
      </c>
      <c r="C129" s="4" t="s">
        <v>261</v>
      </c>
      <c r="D129" s="4" t="s">
        <v>214</v>
      </c>
      <c r="E129" s="3" t="s">
        <v>32</v>
      </c>
      <c r="F129" s="3" t="n">
        <v>282</v>
      </c>
      <c r="G129" s="4" t="s">
        <v>46</v>
      </c>
      <c r="H129" s="5" t="n">
        <v>30000</v>
      </c>
      <c r="I129" s="3" t="s">
        <v>33</v>
      </c>
      <c r="J129" s="6" t="n">
        <v>180</v>
      </c>
      <c r="K129" s="6" t="n">
        <v>225</v>
      </c>
      <c r="L129" s="7" t="n">
        <f aca="false">K129*1.35582</f>
        <v>305.0595</v>
      </c>
      <c r="M129" s="6" t="n">
        <v>3522</v>
      </c>
      <c r="N129" s="7" t="n">
        <f aca="false">M129*0.453592</f>
        <v>1597.551024</v>
      </c>
      <c r="O129" s="3" t="s">
        <v>26</v>
      </c>
      <c r="P129" s="3" t="s">
        <v>27</v>
      </c>
      <c r="Q129" s="8" t="n">
        <f aca="false">J129/M129</f>
        <v>0.0511073253833049</v>
      </c>
      <c r="R129" s="8" t="n">
        <f aca="false">J129/N129</f>
        <v>0.112672457590312</v>
      </c>
      <c r="S129" s="4" t="s">
        <v>35</v>
      </c>
    </row>
    <row r="130" customFormat="false" ht="14.25" hidden="false" customHeight="true" outlineLevel="0" collapsed="false">
      <c r="A130" s="3" t="s">
        <v>233</v>
      </c>
      <c r="B130" s="4" t="s">
        <v>229</v>
      </c>
      <c r="C130" s="4" t="s">
        <v>262</v>
      </c>
      <c r="D130" s="4" t="s">
        <v>235</v>
      </c>
      <c r="E130" s="3" t="s">
        <v>23</v>
      </c>
      <c r="F130" s="3" t="n">
        <v>431</v>
      </c>
      <c r="G130" s="4" t="s">
        <v>46</v>
      </c>
      <c r="H130" s="5" t="n">
        <v>40000</v>
      </c>
      <c r="I130" s="3" t="s">
        <v>33</v>
      </c>
      <c r="J130" s="6" t="n">
        <v>375</v>
      </c>
      <c r="K130" s="6" t="n">
        <v>415</v>
      </c>
      <c r="L130" s="7" t="n">
        <f aca="false">K130*1.35582</f>
        <v>562.6653</v>
      </c>
      <c r="M130" s="6" t="n">
        <v>3470</v>
      </c>
      <c r="N130" s="7" t="n">
        <f aca="false">M130*0.453592</f>
        <v>1573.96424</v>
      </c>
      <c r="O130" s="3" t="s">
        <v>26</v>
      </c>
      <c r="P130" s="3" t="s">
        <v>27</v>
      </c>
      <c r="Q130" s="8" t="n">
        <f aca="false">J130/M130</f>
        <v>0.10806916426513</v>
      </c>
      <c r="R130" s="8" t="n">
        <f aca="false">J130/N130</f>
        <v>0.238251918607757</v>
      </c>
      <c r="S130" s="4" t="s">
        <v>35</v>
      </c>
    </row>
    <row r="131" customFormat="false" ht="14.25" hidden="false" customHeight="true" outlineLevel="0" collapsed="false">
      <c r="A131" s="3" t="s">
        <v>141</v>
      </c>
      <c r="B131" s="4" t="s">
        <v>229</v>
      </c>
      <c r="C131" s="4" t="s">
        <v>263</v>
      </c>
      <c r="D131" s="4" t="s">
        <v>260</v>
      </c>
      <c r="E131" s="3" t="s">
        <v>23</v>
      </c>
      <c r="F131" s="3" t="n">
        <v>449</v>
      </c>
      <c r="G131" s="4" t="s">
        <v>46</v>
      </c>
      <c r="H131" s="5" t="n">
        <v>43000</v>
      </c>
      <c r="I131" s="3" t="s">
        <v>25</v>
      </c>
      <c r="J131" s="6" t="n">
        <v>420</v>
      </c>
      <c r="K131" s="6" t="n">
        <v>460</v>
      </c>
      <c r="L131" s="7" t="n">
        <f aca="false">K131*1.35582</f>
        <v>623.6772</v>
      </c>
      <c r="M131" s="6" t="n">
        <v>5100</v>
      </c>
      <c r="N131" s="7" t="n">
        <f aca="false">M131*0.453592</f>
        <v>2313.3192</v>
      </c>
      <c r="O131" s="3" t="s">
        <v>62</v>
      </c>
      <c r="P131" s="3" t="s">
        <v>27</v>
      </c>
      <c r="Q131" s="8" t="n">
        <f aca="false">J131/M131</f>
        <v>0.0823529411764706</v>
      </c>
      <c r="R131" s="8" t="n">
        <f aca="false">J131/N131</f>
        <v>0.181557305191605</v>
      </c>
      <c r="S131" s="4" t="s">
        <v>35</v>
      </c>
    </row>
    <row r="132" customFormat="false" ht="14.25" hidden="false" customHeight="true" outlineLevel="0" collapsed="false">
      <c r="A132" s="3" t="s">
        <v>258</v>
      </c>
      <c r="B132" s="4" t="s">
        <v>264</v>
      </c>
      <c r="C132" s="4" t="s">
        <v>265</v>
      </c>
      <c r="D132" s="4" t="s">
        <v>103</v>
      </c>
      <c r="E132" s="3" t="s">
        <v>88</v>
      </c>
      <c r="F132" s="3" t="n">
        <v>951</v>
      </c>
      <c r="G132" s="4" t="s">
        <v>168</v>
      </c>
      <c r="H132" s="5" t="n">
        <v>86000</v>
      </c>
      <c r="I132" s="3" t="s">
        <v>33</v>
      </c>
      <c r="J132" s="6" t="n">
        <v>850</v>
      </c>
      <c r="K132" s="6" t="n">
        <v>811</v>
      </c>
      <c r="L132" s="7" t="n">
        <f aca="false">K132*1.35582</f>
        <v>1099.57002</v>
      </c>
      <c r="M132" s="6" t="n">
        <v>2600</v>
      </c>
      <c r="N132" s="7" t="n">
        <f aca="false">M132*0.453592</f>
        <v>1179.3392</v>
      </c>
      <c r="O132" s="3" t="s">
        <v>26</v>
      </c>
      <c r="P132" s="3" t="s">
        <v>27</v>
      </c>
      <c r="Q132" s="8" t="n">
        <f aca="false">J132/M132</f>
        <v>0.326923076923077</v>
      </c>
      <c r="R132" s="8" t="n">
        <f aca="false">J132/N132</f>
        <v>0.720742598906235</v>
      </c>
      <c r="S132" s="4" t="s">
        <v>75</v>
      </c>
    </row>
    <row r="133" customFormat="false" ht="14.25" hidden="false" customHeight="true" outlineLevel="0" collapsed="false">
      <c r="A133" s="3" t="s">
        <v>233</v>
      </c>
      <c r="B133" s="4" t="s">
        <v>264</v>
      </c>
      <c r="C133" s="4" t="s">
        <v>266</v>
      </c>
      <c r="D133" s="4" t="s">
        <v>163</v>
      </c>
      <c r="E133" s="3" t="s">
        <v>32</v>
      </c>
      <c r="F133" s="3" t="n">
        <v>323</v>
      </c>
      <c r="G133" s="4" t="s">
        <v>168</v>
      </c>
      <c r="H133" s="5" t="n">
        <v>185000</v>
      </c>
      <c r="I133" s="3" t="s">
        <v>55</v>
      </c>
      <c r="J133" s="6" t="n">
        <v>135</v>
      </c>
      <c r="K133" s="6" t="n">
        <v>132</v>
      </c>
      <c r="L133" s="7" t="n">
        <f aca="false">K133*1.35582</f>
        <v>178.96824</v>
      </c>
      <c r="M133" s="6" t="n">
        <v>2135</v>
      </c>
      <c r="N133" s="7" t="n">
        <f aca="false">M133*0.453592</f>
        <v>968.41892</v>
      </c>
      <c r="O133" s="3"/>
      <c r="P133" s="3"/>
      <c r="Q133" s="8" t="n">
        <f aca="false">J133/M133</f>
        <v>0.063231850117096</v>
      </c>
      <c r="R133" s="8" t="n">
        <f aca="false">J133/N133</f>
        <v>0.13940248090155</v>
      </c>
      <c r="S133" s="4" t="s">
        <v>28</v>
      </c>
    </row>
    <row r="134" customFormat="false" ht="14.25" hidden="false" customHeight="true" outlineLevel="0" collapsed="false">
      <c r="A134" s="3" t="s">
        <v>237</v>
      </c>
      <c r="B134" s="4" t="s">
        <v>264</v>
      </c>
      <c r="C134" s="4" t="s">
        <v>267</v>
      </c>
      <c r="D134" s="4" t="s">
        <v>163</v>
      </c>
      <c r="E134" s="3" t="s">
        <v>32</v>
      </c>
      <c r="F134" s="3" t="n">
        <v>143</v>
      </c>
      <c r="G134" s="4" t="s">
        <v>168</v>
      </c>
      <c r="H134" s="5" t="n">
        <v>250000</v>
      </c>
      <c r="I134" s="3" t="s">
        <v>33</v>
      </c>
      <c r="J134" s="6" t="n">
        <v>96</v>
      </c>
      <c r="K134" s="6" t="n">
        <v>100</v>
      </c>
      <c r="L134" s="7" t="n">
        <f aca="false">K134*1.35582</f>
        <v>135.582</v>
      </c>
      <c r="M134" s="6" t="n">
        <v>2127</v>
      </c>
      <c r="N134" s="7" t="n">
        <f aca="false">M134*0.453592</f>
        <v>964.790184</v>
      </c>
      <c r="O134" s="3" t="s">
        <v>26</v>
      </c>
      <c r="P134" s="3" t="s">
        <v>27</v>
      </c>
      <c r="Q134" s="8" t="n">
        <f aca="false">J134/M134</f>
        <v>0.0451339915373766</v>
      </c>
      <c r="R134" s="8" t="n">
        <f aca="false">J134/N134</f>
        <v>0.0995034999236684</v>
      </c>
      <c r="S134" s="4" t="s">
        <v>35</v>
      </c>
    </row>
    <row r="135" customFormat="false" ht="14.25" hidden="false" customHeight="true" outlineLevel="0" collapsed="false">
      <c r="A135" s="3" t="s">
        <v>268</v>
      </c>
      <c r="B135" s="4" t="s">
        <v>269</v>
      </c>
      <c r="C135" s="4" t="s">
        <v>270</v>
      </c>
      <c r="D135" s="4" t="s">
        <v>186</v>
      </c>
      <c r="E135" s="3" t="s">
        <v>39</v>
      </c>
      <c r="F135" s="3" t="n">
        <v>562</v>
      </c>
      <c r="G135" s="4" t="s">
        <v>24</v>
      </c>
      <c r="H135" s="5" t="n">
        <v>250000</v>
      </c>
      <c r="I135" s="3" t="s">
        <v>66</v>
      </c>
      <c r="J135" s="6" t="n">
        <v>310</v>
      </c>
      <c r="K135" s="6" t="n">
        <v>330</v>
      </c>
      <c r="L135" s="7" t="n">
        <f aca="false">K135*1.35582</f>
        <v>447.4206</v>
      </c>
      <c r="M135" s="6" t="n">
        <v>3268</v>
      </c>
      <c r="N135" s="7" t="n">
        <f aca="false">M135*0.453592</f>
        <v>1482.338656</v>
      </c>
      <c r="O135" s="3"/>
      <c r="P135" s="3"/>
      <c r="Q135" s="8" t="n">
        <f aca="false">J135/M135</f>
        <v>0.094859241126071</v>
      </c>
      <c r="R135" s="8" t="n">
        <f aca="false">J135/N135</f>
        <v>0.209128999466637</v>
      </c>
      <c r="S135" s="4" t="s">
        <v>28</v>
      </c>
    </row>
    <row r="136" customFormat="false" ht="14.25" hidden="false" customHeight="true" outlineLevel="0" collapsed="false">
      <c r="A136" s="3" t="s">
        <v>100</v>
      </c>
      <c r="B136" s="4" t="s">
        <v>271</v>
      </c>
      <c r="C136" s="4" t="s">
        <v>272</v>
      </c>
      <c r="D136" s="4" t="s">
        <v>273</v>
      </c>
      <c r="E136" s="3" t="s">
        <v>54</v>
      </c>
      <c r="F136" s="3" t="n">
        <v>707</v>
      </c>
      <c r="G136" s="4" t="s">
        <v>46</v>
      </c>
      <c r="H136" s="5" t="n">
        <v>250000</v>
      </c>
      <c r="I136" s="3" t="s">
        <v>55</v>
      </c>
      <c r="J136" s="6" t="n">
        <v>1005</v>
      </c>
      <c r="K136" s="6" t="n">
        <v>912</v>
      </c>
      <c r="L136" s="7" t="n">
        <f aca="false">K136*1.35582</f>
        <v>1236.50784</v>
      </c>
      <c r="M136" s="6" t="n">
        <v>3500</v>
      </c>
      <c r="N136" s="7" t="n">
        <f aca="false">M136*0.453592</f>
        <v>1587.572</v>
      </c>
      <c r="O136" s="3" t="s">
        <v>26</v>
      </c>
      <c r="P136" s="3" t="s">
        <v>27</v>
      </c>
      <c r="Q136" s="8" t="n">
        <f aca="false">J136/M136</f>
        <v>0.287142857142857</v>
      </c>
      <c r="R136" s="8" t="n">
        <f aca="false">J136/N136</f>
        <v>0.633042154938485</v>
      </c>
      <c r="S136" s="4" t="s">
        <v>35</v>
      </c>
    </row>
    <row r="137" customFormat="false" ht="14.25" hidden="false" customHeight="true" outlineLevel="0" collapsed="false">
      <c r="A137" s="3" t="s">
        <v>121</v>
      </c>
      <c r="B137" s="4" t="s">
        <v>271</v>
      </c>
      <c r="C137" s="4" t="s">
        <v>274</v>
      </c>
      <c r="D137" s="4" t="s">
        <v>93</v>
      </c>
      <c r="E137" s="3" t="s">
        <v>39</v>
      </c>
      <c r="F137" s="3" t="n">
        <v>548</v>
      </c>
      <c r="G137" s="4" t="s">
        <v>46</v>
      </c>
      <c r="H137" s="5" t="n">
        <v>275000</v>
      </c>
      <c r="I137" s="3" t="s">
        <v>55</v>
      </c>
      <c r="J137" s="6" t="n">
        <v>850</v>
      </c>
      <c r="K137" s="6" t="n">
        <v>1200</v>
      </c>
      <c r="L137" s="7" t="n">
        <f aca="false">K137*1.35582</f>
        <v>1626.984</v>
      </c>
      <c r="M137" s="6" t="n">
        <v>7740</v>
      </c>
      <c r="N137" s="7" t="n">
        <f aca="false">M137*0.453592</f>
        <v>3510.80208</v>
      </c>
      <c r="O137" s="3" t="s">
        <v>62</v>
      </c>
      <c r="P137" s="3" t="s">
        <v>27</v>
      </c>
      <c r="Q137" s="8" t="n">
        <f aca="false">J137/M137</f>
        <v>0.109819121447028</v>
      </c>
      <c r="R137" s="8" t="n">
        <f aca="false">J137/N137</f>
        <v>0.242109916945247</v>
      </c>
      <c r="S137" s="4" t="s">
        <v>35</v>
      </c>
    </row>
    <row r="138" customFormat="false" ht="14.25" hidden="false" customHeight="true" outlineLevel="0" collapsed="false">
      <c r="A138" s="3" t="s">
        <v>106</v>
      </c>
      <c r="B138" s="4" t="s">
        <v>271</v>
      </c>
      <c r="C138" s="4" t="s">
        <v>275</v>
      </c>
      <c r="D138" s="4" t="s">
        <v>93</v>
      </c>
      <c r="E138" s="3" t="s">
        <v>70</v>
      </c>
      <c r="F138" s="3" t="n">
        <v>645</v>
      </c>
      <c r="G138" s="4" t="s">
        <v>46</v>
      </c>
      <c r="H138" s="5" t="n">
        <v>150000</v>
      </c>
      <c r="I138" s="3" t="s">
        <v>55</v>
      </c>
      <c r="J138" s="6" t="n">
        <v>707</v>
      </c>
      <c r="K138" s="6" t="n">
        <v>650</v>
      </c>
      <c r="L138" s="7" t="n">
        <f aca="false">K138*1.35582</f>
        <v>881.283</v>
      </c>
      <c r="M138" s="6" t="n">
        <v>4650</v>
      </c>
      <c r="N138" s="7" t="n">
        <f aca="false">M138*0.453592</f>
        <v>2109.2028</v>
      </c>
      <c r="O138" s="3" t="s">
        <v>62</v>
      </c>
      <c r="P138" s="3" t="s">
        <v>27</v>
      </c>
      <c r="Q138" s="8" t="n">
        <f aca="false">J138/M138</f>
        <v>0.152043010752688</v>
      </c>
      <c r="R138" s="8" t="n">
        <f aca="false">J138/N138</f>
        <v>0.335197734423641</v>
      </c>
      <c r="S138" s="4" t="s">
        <v>35</v>
      </c>
    </row>
    <row r="139" customFormat="false" ht="14.25" hidden="false" customHeight="true" outlineLevel="0" collapsed="false">
      <c r="A139" s="3" t="s">
        <v>121</v>
      </c>
      <c r="B139" s="4" t="s">
        <v>271</v>
      </c>
      <c r="C139" s="4" t="s">
        <v>276</v>
      </c>
      <c r="D139" s="4" t="s">
        <v>273</v>
      </c>
      <c r="E139" s="3" t="s">
        <v>54</v>
      </c>
      <c r="F139" s="3" t="n">
        <v>717</v>
      </c>
      <c r="G139" s="4" t="s">
        <v>46</v>
      </c>
      <c r="H139" s="5" t="n">
        <v>250000</v>
      </c>
      <c r="I139" s="3" t="s">
        <v>33</v>
      </c>
      <c r="J139" s="6" t="n">
        <v>900</v>
      </c>
      <c r="K139" s="6" t="n">
        <v>626</v>
      </c>
      <c r="L139" s="7" t="n">
        <f aca="false">K139*1.35582</f>
        <v>848.74332</v>
      </c>
      <c r="M139" s="6" t="n">
        <v>3215</v>
      </c>
      <c r="N139" s="7" t="n">
        <f aca="false">M139*0.453592</f>
        <v>1458.29828</v>
      </c>
      <c r="O139" s="3" t="s">
        <v>26</v>
      </c>
      <c r="P139" s="3" t="s">
        <v>27</v>
      </c>
      <c r="Q139" s="8" t="n">
        <f aca="false">J139/M139</f>
        <v>0.279937791601866</v>
      </c>
      <c r="R139" s="8" t="n">
        <f aca="false">J139/N139</f>
        <v>0.617157691497792</v>
      </c>
      <c r="S139" s="4" t="s">
        <v>35</v>
      </c>
    </row>
    <row r="140" customFormat="false" ht="14.25" hidden="false" customHeight="true" outlineLevel="0" collapsed="false">
      <c r="A140" s="3" t="s">
        <v>277</v>
      </c>
      <c r="B140" s="4" t="s">
        <v>278</v>
      </c>
      <c r="C140" s="4" t="s">
        <v>279</v>
      </c>
      <c r="D140" s="4" t="s">
        <v>120</v>
      </c>
      <c r="E140" s="3" t="s">
        <v>32</v>
      </c>
      <c r="F140" s="3" t="n">
        <v>357</v>
      </c>
      <c r="G140" s="4" t="s">
        <v>46</v>
      </c>
      <c r="H140" s="5" t="n">
        <v>72000</v>
      </c>
      <c r="I140" s="3" t="s">
        <v>66</v>
      </c>
      <c r="J140" s="6" t="n">
        <v>130</v>
      </c>
      <c r="K140" s="6" t="n">
        <v>160</v>
      </c>
      <c r="L140" s="7" t="n">
        <f aca="false">K140*1.35582</f>
        <v>216.9312</v>
      </c>
      <c r="M140" s="6" t="n">
        <v>2844</v>
      </c>
      <c r="N140" s="7" t="n">
        <f aca="false">M140*0.453592</f>
        <v>1290.015648</v>
      </c>
      <c r="O140" s="3" t="s">
        <v>26</v>
      </c>
      <c r="P140" s="3" t="s">
        <v>34</v>
      </c>
      <c r="Q140" s="8" t="n">
        <f aca="false">J140/M140</f>
        <v>0.0457102672292546</v>
      </c>
      <c r="R140" s="8" t="n">
        <f aca="false">J140/N140</f>
        <v>0.100773971386741</v>
      </c>
      <c r="S140" s="4" t="s">
        <v>35</v>
      </c>
    </row>
    <row r="141" customFormat="false" ht="14.25" hidden="false" customHeight="true" outlineLevel="0" collapsed="false">
      <c r="A141" s="3" t="s">
        <v>237</v>
      </c>
      <c r="B141" s="4" t="s">
        <v>280</v>
      </c>
      <c r="C141" s="4" t="s">
        <v>281</v>
      </c>
      <c r="D141" s="4" t="s">
        <v>235</v>
      </c>
      <c r="E141" s="3" t="s">
        <v>23</v>
      </c>
      <c r="F141" s="3" t="n">
        <v>443</v>
      </c>
      <c r="G141" s="4" t="s">
        <v>46</v>
      </c>
      <c r="H141" s="5"/>
      <c r="I141" s="3"/>
      <c r="J141" s="6" t="n">
        <v>425</v>
      </c>
      <c r="K141" s="6" t="n">
        <v>490</v>
      </c>
      <c r="L141" s="7" t="n">
        <f aca="false">K141*1.35582</f>
        <v>664.3518</v>
      </c>
      <c r="M141" s="6" t="n">
        <v>3800</v>
      </c>
      <c r="N141" s="7" t="n">
        <f aca="false">M141*0.453592</f>
        <v>1723.6496</v>
      </c>
      <c r="O141" s="3"/>
      <c r="P141" s="3"/>
      <c r="Q141" s="8" t="n">
        <f aca="false">J141/M141</f>
        <v>0.111842105263158</v>
      </c>
      <c r="R141" s="8" t="n">
        <f aca="false">J141/N141</f>
        <v>0.246569836467923</v>
      </c>
      <c r="S141" s="4" t="s">
        <v>105</v>
      </c>
    </row>
    <row r="142" customFormat="false" ht="14.25" hidden="false" customHeight="true" outlineLevel="0" collapsed="false">
      <c r="A142" s="3" t="s">
        <v>100</v>
      </c>
      <c r="B142" s="4" t="s">
        <v>280</v>
      </c>
      <c r="C142" s="4" t="s">
        <v>282</v>
      </c>
      <c r="D142" s="4" t="s">
        <v>217</v>
      </c>
      <c r="E142" s="3" t="s">
        <v>70</v>
      </c>
      <c r="F142" s="3" t="n">
        <v>678</v>
      </c>
      <c r="G142" s="4" t="s">
        <v>46</v>
      </c>
      <c r="H142" s="5" t="n">
        <v>90000</v>
      </c>
      <c r="I142" s="3" t="s">
        <v>25</v>
      </c>
      <c r="J142" s="6" t="n">
        <v>840</v>
      </c>
      <c r="K142" s="6" t="n">
        <v>770</v>
      </c>
      <c r="L142" s="7" t="n">
        <f aca="false">K142*1.35582</f>
        <v>1043.9814</v>
      </c>
      <c r="M142" s="6" t="n">
        <v>4248</v>
      </c>
      <c r="N142" s="7" t="n">
        <f aca="false">M142*0.453592</f>
        <v>1926.858816</v>
      </c>
      <c r="O142" s="3" t="s">
        <v>26</v>
      </c>
      <c r="P142" s="3" t="s">
        <v>27</v>
      </c>
      <c r="Q142" s="8" t="n">
        <f aca="false">J142/M142</f>
        <v>0.19774011299435</v>
      </c>
      <c r="R142" s="8" t="n">
        <f aca="false">J142/N142</f>
        <v>0.435942681957244</v>
      </c>
      <c r="S142" s="4" t="s">
        <v>112</v>
      </c>
    </row>
    <row r="143" customFormat="false" ht="14.25" hidden="false" customHeight="true" outlineLevel="0" collapsed="false">
      <c r="A143" s="3" t="s">
        <v>94</v>
      </c>
      <c r="B143" s="4" t="s">
        <v>280</v>
      </c>
      <c r="C143" s="4" t="s">
        <v>283</v>
      </c>
      <c r="D143" s="4" t="s">
        <v>217</v>
      </c>
      <c r="E143" s="3" t="s">
        <v>70</v>
      </c>
      <c r="F143" s="3" t="n">
        <v>631</v>
      </c>
      <c r="G143" s="4" t="s">
        <v>46</v>
      </c>
      <c r="H143" s="5" t="n">
        <v>53000</v>
      </c>
      <c r="I143" s="3" t="s">
        <v>25</v>
      </c>
      <c r="J143" s="6" t="n">
        <v>707</v>
      </c>
      <c r="K143" s="6" t="n">
        <v>650</v>
      </c>
      <c r="L143" s="7" t="n">
        <f aca="false">K143*1.35582</f>
        <v>881.283</v>
      </c>
      <c r="M143" s="6" t="n">
        <v>4438</v>
      </c>
      <c r="N143" s="7" t="n">
        <f aca="false">M143*0.453592</f>
        <v>2013.041296</v>
      </c>
      <c r="O143" s="3" t="s">
        <v>26</v>
      </c>
      <c r="P143" s="3" t="s">
        <v>27</v>
      </c>
      <c r="Q143" s="8" t="n">
        <f aca="false">J143/M143</f>
        <v>0.159305993690852</v>
      </c>
      <c r="R143" s="8" t="n">
        <f aca="false">J143/N143</f>
        <v>0.351209883972495</v>
      </c>
      <c r="S143" s="4" t="s">
        <v>35</v>
      </c>
    </row>
    <row r="144" customFormat="false" ht="14.25" hidden="false" customHeight="true" outlineLevel="0" collapsed="false">
      <c r="A144" s="3" t="s">
        <v>51</v>
      </c>
      <c r="B144" s="4" t="s">
        <v>280</v>
      </c>
      <c r="C144" s="4" t="s">
        <v>284</v>
      </c>
      <c r="D144" s="4" t="s">
        <v>217</v>
      </c>
      <c r="E144" s="3" t="s">
        <v>70</v>
      </c>
      <c r="F144" s="3" t="n">
        <v>695</v>
      </c>
      <c r="G144" s="4" t="s">
        <v>46</v>
      </c>
      <c r="H144" s="5" t="n">
        <v>87000</v>
      </c>
      <c r="I144" s="3" t="s">
        <v>25</v>
      </c>
      <c r="J144" s="6" t="n">
        <v>807</v>
      </c>
      <c r="K144" s="6" t="n">
        <v>707</v>
      </c>
      <c r="L144" s="7" t="n">
        <f aca="false">K144*1.35582</f>
        <v>958.56474</v>
      </c>
      <c r="M144" s="6" t="n">
        <v>4441</v>
      </c>
      <c r="N144" s="7" t="n">
        <f aca="false">M144*0.453592</f>
        <v>2014.402072</v>
      </c>
      <c r="O144" s="3" t="s">
        <v>26</v>
      </c>
      <c r="P144" s="3" t="s">
        <v>27</v>
      </c>
      <c r="Q144" s="8" t="n">
        <f aca="false">J144/M144</f>
        <v>0.18171582976807</v>
      </c>
      <c r="R144" s="8" t="n">
        <f aca="false">J144/N144</f>
        <v>0.400615155840646</v>
      </c>
      <c r="S144" s="4" t="s">
        <v>35</v>
      </c>
    </row>
    <row r="145" customFormat="false" ht="14.25" hidden="false" customHeight="true" outlineLevel="0" collapsed="false">
      <c r="A145" s="3" t="s">
        <v>233</v>
      </c>
      <c r="B145" s="4" t="s">
        <v>280</v>
      </c>
      <c r="C145" s="4" t="s">
        <v>285</v>
      </c>
      <c r="D145" s="4" t="s">
        <v>235</v>
      </c>
      <c r="E145" s="3" t="s">
        <v>23</v>
      </c>
      <c r="F145" s="3" t="n">
        <v>479</v>
      </c>
      <c r="G145" s="4" t="s">
        <v>46</v>
      </c>
      <c r="H145" s="5" t="n">
        <v>541000</v>
      </c>
      <c r="I145" s="3" t="s">
        <v>55</v>
      </c>
      <c r="J145" s="6" t="n">
        <v>425</v>
      </c>
      <c r="K145" s="6" t="n">
        <v>490</v>
      </c>
      <c r="L145" s="7" t="n">
        <f aca="false">K145*1.35582</f>
        <v>664.3518</v>
      </c>
      <c r="M145" s="6" t="n">
        <v>3875</v>
      </c>
      <c r="N145" s="7" t="n">
        <f aca="false">M145*0.453592</f>
        <v>1757.669</v>
      </c>
      <c r="O145" s="3" t="s">
        <v>26</v>
      </c>
      <c r="P145" s="3" t="s">
        <v>27</v>
      </c>
      <c r="Q145" s="8" t="n">
        <f aca="false">J145/M145</f>
        <v>0.109677419354839</v>
      </c>
      <c r="R145" s="8" t="n">
        <f aca="false">J145/N145</f>
        <v>0.241797517052414</v>
      </c>
      <c r="S145" s="4" t="s">
        <v>112</v>
      </c>
    </row>
    <row r="146" customFormat="false" ht="14.25" hidden="false" customHeight="true" outlineLevel="0" collapsed="false">
      <c r="A146" s="3" t="s">
        <v>233</v>
      </c>
      <c r="B146" s="4" t="s">
        <v>280</v>
      </c>
      <c r="C146" s="4" t="s">
        <v>286</v>
      </c>
      <c r="D146" s="4" t="s">
        <v>235</v>
      </c>
      <c r="E146" s="3" t="s">
        <v>23</v>
      </c>
      <c r="F146" s="3" t="n">
        <v>417</v>
      </c>
      <c r="G146" s="4" t="s">
        <v>46</v>
      </c>
      <c r="H146" s="5" t="n">
        <v>224000</v>
      </c>
      <c r="I146" s="3" t="s">
        <v>187</v>
      </c>
      <c r="J146" s="6" t="n">
        <v>425</v>
      </c>
      <c r="K146" s="6" t="n">
        <v>490</v>
      </c>
      <c r="L146" s="7" t="n">
        <f aca="false">K146*1.35582</f>
        <v>664.3518</v>
      </c>
      <c r="M146" s="6" t="n">
        <v>3671</v>
      </c>
      <c r="N146" s="7" t="n">
        <f aca="false">M146*0.453592</f>
        <v>1665.136232</v>
      </c>
      <c r="O146" s="3"/>
      <c r="P146" s="3"/>
      <c r="Q146" s="8" t="n">
        <f aca="false">J146/M146</f>
        <v>0.115772269136475</v>
      </c>
      <c r="R146" s="8" t="n">
        <f aca="false">J146/N146</f>
        <v>0.255234371718362</v>
      </c>
      <c r="S146" s="4" t="s">
        <v>188</v>
      </c>
    </row>
    <row r="147" customFormat="false" ht="14.25" hidden="false" customHeight="true" outlineLevel="0" collapsed="false">
      <c r="A147" s="3" t="s">
        <v>94</v>
      </c>
      <c r="B147" s="4" t="s">
        <v>280</v>
      </c>
      <c r="C147" s="4" t="s">
        <v>287</v>
      </c>
      <c r="D147" s="4" t="s">
        <v>217</v>
      </c>
      <c r="E147" s="3" t="s">
        <v>70</v>
      </c>
      <c r="F147" s="3" t="n">
        <v>637</v>
      </c>
      <c r="G147" s="4" t="s">
        <v>46</v>
      </c>
      <c r="H147" s="5" t="n">
        <v>44000</v>
      </c>
      <c r="I147" s="3" t="s">
        <v>25</v>
      </c>
      <c r="J147" s="6" t="n">
        <v>707</v>
      </c>
      <c r="K147" s="6" t="n">
        <v>650</v>
      </c>
      <c r="L147" s="7" t="n">
        <f aca="false">K147*1.35582</f>
        <v>881.283</v>
      </c>
      <c r="M147" s="6" t="n">
        <v>4575</v>
      </c>
      <c r="N147" s="7" t="n">
        <f aca="false">M147*0.453592</f>
        <v>2075.1834</v>
      </c>
      <c r="O147" s="3" t="s">
        <v>26</v>
      </c>
      <c r="P147" s="3" t="s">
        <v>27</v>
      </c>
      <c r="Q147" s="8" t="n">
        <f aca="false">J147/M147</f>
        <v>0.154535519125683</v>
      </c>
      <c r="R147" s="8" t="n">
        <f aca="false">J147/N147</f>
        <v>0.340692779250258</v>
      </c>
      <c r="S147" s="4" t="s">
        <v>35</v>
      </c>
    </row>
    <row r="148" customFormat="false" ht="14.25" hidden="false" customHeight="true" outlineLevel="0" collapsed="false">
      <c r="A148" s="3" t="s">
        <v>237</v>
      </c>
      <c r="B148" s="4" t="s">
        <v>280</v>
      </c>
      <c r="C148" s="4" t="s">
        <v>288</v>
      </c>
      <c r="D148" s="4" t="s">
        <v>235</v>
      </c>
      <c r="E148" s="3" t="s">
        <v>23</v>
      </c>
      <c r="F148" s="3" t="n">
        <v>455</v>
      </c>
      <c r="G148" s="4" t="s">
        <v>46</v>
      </c>
      <c r="H148" s="5" t="n">
        <v>175000</v>
      </c>
      <c r="I148" s="3" t="s">
        <v>25</v>
      </c>
      <c r="J148" s="6" t="n">
        <v>425</v>
      </c>
      <c r="K148" s="6" t="n">
        <v>490</v>
      </c>
      <c r="L148" s="7" t="n">
        <f aca="false">K148*1.35582</f>
        <v>664.3518</v>
      </c>
      <c r="M148" s="6" t="n">
        <v>3420</v>
      </c>
      <c r="N148" s="7" t="n">
        <f aca="false">M148*0.453592</f>
        <v>1551.28464</v>
      </c>
      <c r="O148" s="3" t="s">
        <v>26</v>
      </c>
      <c r="P148" s="3" t="s">
        <v>27</v>
      </c>
      <c r="Q148" s="8" t="n">
        <f aca="false">J148/M148</f>
        <v>0.124269005847953</v>
      </c>
      <c r="R148" s="8" t="n">
        <f aca="false">J148/N148</f>
        <v>0.273966484964358</v>
      </c>
      <c r="S148" s="4" t="s">
        <v>35</v>
      </c>
    </row>
    <row r="149" customFormat="false" ht="14.25" hidden="false" customHeight="true" outlineLevel="0" collapsed="false">
      <c r="A149" s="3" t="s">
        <v>29</v>
      </c>
      <c r="B149" s="4" t="s">
        <v>280</v>
      </c>
      <c r="C149" s="4" t="s">
        <v>289</v>
      </c>
      <c r="D149" s="4" t="s">
        <v>235</v>
      </c>
      <c r="E149" s="3" t="s">
        <v>39</v>
      </c>
      <c r="F149" s="3" t="n">
        <v>540</v>
      </c>
      <c r="G149" s="4" t="s">
        <v>46</v>
      </c>
      <c r="H149" s="5" t="n">
        <v>300000</v>
      </c>
      <c r="I149" s="3" t="s">
        <v>66</v>
      </c>
      <c r="J149" s="6" t="n">
        <v>425</v>
      </c>
      <c r="K149" s="6" t="n">
        <v>490</v>
      </c>
      <c r="L149" s="7" t="n">
        <f aca="false">K149*1.35582</f>
        <v>664.3518</v>
      </c>
      <c r="M149" s="6" t="n">
        <v>3020</v>
      </c>
      <c r="N149" s="7" t="n">
        <f aca="false">M149*0.453592</f>
        <v>1369.84784</v>
      </c>
      <c r="O149" s="3"/>
      <c r="P149" s="3"/>
      <c r="Q149" s="8" t="n">
        <f aca="false">J149/M149</f>
        <v>0.140728476821192</v>
      </c>
      <c r="R149" s="8" t="n">
        <f aca="false">J149/N149</f>
        <v>0.310253436615267</v>
      </c>
      <c r="S149" s="4" t="s">
        <v>105</v>
      </c>
    </row>
    <row r="150" customFormat="false" ht="14.25" hidden="false" customHeight="true" outlineLevel="0" collapsed="false">
      <c r="A150" s="3" t="s">
        <v>76</v>
      </c>
      <c r="B150" s="4" t="s">
        <v>280</v>
      </c>
      <c r="C150" s="4" t="s">
        <v>290</v>
      </c>
      <c r="D150" s="4" t="s">
        <v>124</v>
      </c>
      <c r="E150" s="3" t="s">
        <v>70</v>
      </c>
      <c r="F150" s="3" t="n">
        <v>628</v>
      </c>
      <c r="G150" s="4" t="s">
        <v>46</v>
      </c>
      <c r="H150" s="5"/>
      <c r="I150" s="3"/>
      <c r="J150" s="6" t="n">
        <v>710</v>
      </c>
      <c r="K150" s="6" t="n">
        <v>645</v>
      </c>
      <c r="L150" s="7" t="n">
        <f aca="false">K150*1.35582</f>
        <v>874.5039</v>
      </c>
      <c r="M150" s="6" t="n">
        <v>5534</v>
      </c>
      <c r="N150" s="7" t="n">
        <f aca="false">M150*0.453592</f>
        <v>2510.178128</v>
      </c>
      <c r="O150" s="3"/>
      <c r="P150" s="3"/>
      <c r="Q150" s="8" t="n">
        <f aca="false">J150/M150</f>
        <v>0.128297795446332</v>
      </c>
      <c r="R150" s="8" t="n">
        <f aca="false">J150/N150</f>
        <v>0.282848452896726</v>
      </c>
      <c r="S150" s="4" t="s">
        <v>84</v>
      </c>
    </row>
    <row r="151" customFormat="false" ht="14.25" hidden="false" customHeight="true" outlineLevel="0" collapsed="false">
      <c r="A151" s="3" t="s">
        <v>148</v>
      </c>
      <c r="B151" s="4" t="s">
        <v>280</v>
      </c>
      <c r="C151" s="4" t="s">
        <v>291</v>
      </c>
      <c r="D151" s="4" t="s">
        <v>217</v>
      </c>
      <c r="E151" s="3" t="s">
        <v>39</v>
      </c>
      <c r="F151" s="3" t="n">
        <v>547</v>
      </c>
      <c r="G151" s="4" t="s">
        <v>46</v>
      </c>
      <c r="H151" s="5" t="n">
        <v>250000</v>
      </c>
      <c r="I151" s="3" t="s">
        <v>33</v>
      </c>
      <c r="J151" s="6" t="n">
        <v>500</v>
      </c>
      <c r="K151" s="6" t="n">
        <v>525</v>
      </c>
      <c r="L151" s="7" t="n">
        <f aca="false">K151*1.35582</f>
        <v>711.8055</v>
      </c>
      <c r="M151" s="6" t="n">
        <v>5150</v>
      </c>
      <c r="N151" s="7" t="n">
        <f aca="false">M151*0.453592</f>
        <v>2335.9988</v>
      </c>
      <c r="O151" s="3"/>
      <c r="P151" s="3"/>
      <c r="Q151" s="8" t="n">
        <f aca="false">J151/M151</f>
        <v>0.0970873786407767</v>
      </c>
      <c r="R151" s="8" t="n">
        <f aca="false">J151/N151</f>
        <v>0.214041205843085</v>
      </c>
      <c r="S151" s="4" t="s">
        <v>28</v>
      </c>
    </row>
    <row r="152" customFormat="false" ht="14.25" hidden="false" customHeight="true" outlineLevel="0" collapsed="false">
      <c r="A152" s="3" t="s">
        <v>36</v>
      </c>
      <c r="B152" s="4" t="s">
        <v>280</v>
      </c>
      <c r="C152" s="4" t="s">
        <v>292</v>
      </c>
      <c r="D152" s="4" t="s">
        <v>171</v>
      </c>
      <c r="E152" s="3" t="s">
        <v>54</v>
      </c>
      <c r="F152" s="3" t="n">
        <v>786</v>
      </c>
      <c r="G152" s="4" t="s">
        <v>46</v>
      </c>
      <c r="H152" s="5" t="n">
        <v>290000</v>
      </c>
      <c r="I152" s="3" t="s">
        <v>55</v>
      </c>
      <c r="J152" s="6" t="n">
        <v>645</v>
      </c>
      <c r="K152" s="6" t="n">
        <v>600</v>
      </c>
      <c r="L152" s="7" t="n">
        <f aca="false">K152*1.35582</f>
        <v>813.492</v>
      </c>
      <c r="M152" s="6" t="n">
        <v>3368</v>
      </c>
      <c r="N152" s="7" t="n">
        <f aca="false">M152*0.453592</f>
        <v>1527.697856</v>
      </c>
      <c r="O152" s="3"/>
      <c r="P152" s="3"/>
      <c r="Q152" s="8" t="n">
        <f aca="false">J152/M152</f>
        <v>0.191508313539192</v>
      </c>
      <c r="R152" s="8" t="n">
        <f aca="false">J152/N152</f>
        <v>0.422203904696715</v>
      </c>
      <c r="S152" s="4" t="s">
        <v>105</v>
      </c>
    </row>
    <row r="153" customFormat="false" ht="14.25" hidden="false" customHeight="true" outlineLevel="0" collapsed="false">
      <c r="A153" s="3" t="s">
        <v>293</v>
      </c>
      <c r="B153" s="4" t="s">
        <v>280</v>
      </c>
      <c r="C153" s="4" t="s">
        <v>294</v>
      </c>
      <c r="D153" s="4" t="s">
        <v>214</v>
      </c>
      <c r="E153" s="3" t="s">
        <v>39</v>
      </c>
      <c r="F153" s="3" t="n">
        <v>598</v>
      </c>
      <c r="G153" s="4" t="s">
        <v>46</v>
      </c>
      <c r="H153" s="5" t="n">
        <v>68000</v>
      </c>
      <c r="I153" s="3" t="s">
        <v>66</v>
      </c>
      <c r="J153" s="6" t="n">
        <v>460</v>
      </c>
      <c r="K153" s="6" t="n">
        <v>500</v>
      </c>
      <c r="L153" s="7" t="n">
        <f aca="false">K153*1.35582</f>
        <v>677.91</v>
      </c>
      <c r="M153" s="6" t="n">
        <v>3450</v>
      </c>
      <c r="N153" s="7" t="n">
        <f aca="false">M153*0.453592</f>
        <v>1564.8924</v>
      </c>
      <c r="O153" s="3" t="s">
        <v>26</v>
      </c>
      <c r="P153" s="3" t="s">
        <v>27</v>
      </c>
      <c r="Q153" s="8" t="n">
        <f aca="false">J153/M153</f>
        <v>0.133333333333333</v>
      </c>
      <c r="R153" s="8" t="n">
        <f aca="false">J153/N153</f>
        <v>0.29394992269117</v>
      </c>
      <c r="S153" s="4" t="s">
        <v>63</v>
      </c>
    </row>
    <row r="154" customFormat="false" ht="14.25" hidden="false" customHeight="true" outlineLevel="0" collapsed="false">
      <c r="A154" s="3" t="s">
        <v>293</v>
      </c>
      <c r="B154" s="4" t="s">
        <v>280</v>
      </c>
      <c r="C154" s="4" t="s">
        <v>295</v>
      </c>
      <c r="D154" s="4" t="s">
        <v>93</v>
      </c>
      <c r="E154" s="3" t="s">
        <v>70</v>
      </c>
      <c r="F154" s="3" t="n">
        <v>700</v>
      </c>
      <c r="G154" s="4" t="s">
        <v>46</v>
      </c>
      <c r="H154" s="5" t="n">
        <v>500000</v>
      </c>
      <c r="I154" s="3" t="s">
        <v>296</v>
      </c>
      <c r="J154" s="6" t="n">
        <v>516</v>
      </c>
      <c r="K154" s="6" t="n">
        <v>561</v>
      </c>
      <c r="L154" s="7" t="n">
        <f aca="false">K154*1.35582</f>
        <v>760.61502</v>
      </c>
      <c r="M154" s="6" t="n">
        <v>3060</v>
      </c>
      <c r="N154" s="7" t="n">
        <f aca="false">M154*0.453592</f>
        <v>1387.99152</v>
      </c>
      <c r="O154" s="3" t="s">
        <v>26</v>
      </c>
      <c r="P154" s="3" t="s">
        <v>27</v>
      </c>
      <c r="Q154" s="8" t="n">
        <f aca="false">J154/M154</f>
        <v>0.168627450980392</v>
      </c>
      <c r="R154" s="8" t="n">
        <f aca="false">J154/N154</f>
        <v>0.371760196344715</v>
      </c>
      <c r="S154" s="4" t="s">
        <v>75</v>
      </c>
    </row>
    <row r="155" customFormat="false" ht="14.25" hidden="false" customHeight="true" outlineLevel="0" collapsed="false">
      <c r="A155" s="3" t="s">
        <v>196</v>
      </c>
      <c r="B155" s="4" t="s">
        <v>280</v>
      </c>
      <c r="C155" s="4" t="s">
        <v>297</v>
      </c>
      <c r="D155" s="4" t="s">
        <v>171</v>
      </c>
      <c r="E155" s="3" t="s">
        <v>54</v>
      </c>
      <c r="F155" s="3" t="n">
        <v>735</v>
      </c>
      <c r="G155" s="4" t="s">
        <v>46</v>
      </c>
      <c r="H155" s="5" t="n">
        <v>115000</v>
      </c>
      <c r="I155" s="3" t="s">
        <v>25</v>
      </c>
      <c r="J155" s="6" t="n">
        <v>600</v>
      </c>
      <c r="K155" s="6" t="n">
        <v>560</v>
      </c>
      <c r="L155" s="7" t="n">
        <f aca="false">K155*1.35582</f>
        <v>759.2592</v>
      </c>
      <c r="M155" s="6" t="n">
        <v>3408</v>
      </c>
      <c r="N155" s="7" t="n">
        <f aca="false">M155*0.453592</f>
        <v>1545.841536</v>
      </c>
      <c r="O155" s="3" t="s">
        <v>26</v>
      </c>
      <c r="P155" s="3" t="s">
        <v>27</v>
      </c>
      <c r="Q155" s="8" t="n">
        <f aca="false">J155/M155</f>
        <v>0.176056338028169</v>
      </c>
      <c r="R155" s="8" t="n">
        <f aca="false">J155/N155</f>
        <v>0.388138102145031</v>
      </c>
      <c r="S155" s="4" t="s">
        <v>35</v>
      </c>
    </row>
    <row r="156" customFormat="false" ht="14.25" hidden="false" customHeight="true" outlineLevel="0" collapsed="false">
      <c r="A156" s="3" t="s">
        <v>100</v>
      </c>
      <c r="B156" s="4" t="s">
        <v>298</v>
      </c>
      <c r="C156" s="4" t="s">
        <v>299</v>
      </c>
      <c r="D156" s="4" t="s">
        <v>171</v>
      </c>
      <c r="E156" s="3" t="s">
        <v>109</v>
      </c>
      <c r="F156" s="3" t="n">
        <v>841</v>
      </c>
      <c r="G156" s="4" t="s">
        <v>46</v>
      </c>
      <c r="H156" s="5"/>
      <c r="I156" s="3"/>
      <c r="J156" s="6" t="n">
        <v>525</v>
      </c>
      <c r="K156" s="6" t="n">
        <v>486</v>
      </c>
      <c r="L156" s="7" t="n">
        <f aca="false">K156*1.35582</f>
        <v>658.92852</v>
      </c>
      <c r="M156" s="6" t="n">
        <v>1696</v>
      </c>
      <c r="N156" s="7" t="n">
        <f aca="false">M156*0.453592</f>
        <v>769.292032</v>
      </c>
      <c r="O156" s="3"/>
      <c r="P156" s="3"/>
      <c r="Q156" s="8" t="n">
        <f aca="false">J156/M156</f>
        <v>0.309551886792453</v>
      </c>
      <c r="R156" s="8" t="n">
        <f aca="false">J156/N156</f>
        <v>0.682445648936606</v>
      </c>
      <c r="S156" s="4" t="s">
        <v>28</v>
      </c>
    </row>
    <row r="157" customFormat="false" ht="14.25" hidden="false" customHeight="true" outlineLevel="0" collapsed="false">
      <c r="A157" s="3" t="s">
        <v>247</v>
      </c>
      <c r="B157" s="4" t="s">
        <v>300</v>
      </c>
      <c r="C157" s="4" t="s">
        <v>301</v>
      </c>
      <c r="D157" s="4" t="s">
        <v>65</v>
      </c>
      <c r="E157" s="3" t="s">
        <v>70</v>
      </c>
      <c r="F157" s="3" t="n">
        <v>684</v>
      </c>
      <c r="G157" s="4" t="s">
        <v>24</v>
      </c>
      <c r="H157" s="5" t="n">
        <v>70000000</v>
      </c>
      <c r="I157" s="3" t="s">
        <v>66</v>
      </c>
      <c r="J157" s="6" t="n">
        <v>450</v>
      </c>
      <c r="K157" s="6" t="n">
        <v>385</v>
      </c>
      <c r="L157" s="7" t="n">
        <f aca="false">K157*1.35582</f>
        <v>521.9907</v>
      </c>
      <c r="M157" s="6" t="n">
        <v>2271</v>
      </c>
      <c r="N157" s="7" t="n">
        <f aca="false">M157*0.453592</f>
        <v>1030.107432</v>
      </c>
      <c r="O157" s="3" t="s">
        <v>26</v>
      </c>
      <c r="P157" s="3" t="s">
        <v>67</v>
      </c>
      <c r="Q157" s="8" t="n">
        <f aca="false">J157/M157</f>
        <v>0.198150594451783</v>
      </c>
      <c r="R157" s="8" t="n">
        <f aca="false">J157/N157</f>
        <v>0.436847639402334</v>
      </c>
      <c r="S157" s="4" t="s">
        <v>35</v>
      </c>
    </row>
    <row r="158" customFormat="false" ht="14.25" hidden="false" customHeight="true" outlineLevel="0" collapsed="false">
      <c r="A158" s="3" t="s">
        <v>302</v>
      </c>
      <c r="B158" s="4" t="s">
        <v>300</v>
      </c>
      <c r="C158" s="4" t="s">
        <v>303</v>
      </c>
      <c r="D158" s="4" t="s">
        <v>82</v>
      </c>
      <c r="E158" s="3" t="s">
        <v>23</v>
      </c>
      <c r="F158" s="3" t="n">
        <v>475</v>
      </c>
      <c r="G158" s="4" t="s">
        <v>24</v>
      </c>
      <c r="H158" s="5" t="n">
        <v>1400000</v>
      </c>
      <c r="I158" s="3" t="s">
        <v>66</v>
      </c>
      <c r="J158" s="6" t="n">
        <v>254</v>
      </c>
      <c r="K158" s="6" t="n">
        <v>215</v>
      </c>
      <c r="L158" s="7" t="n">
        <f aca="false">K158*1.35582</f>
        <v>291.5013</v>
      </c>
      <c r="M158" s="6" t="n">
        <v>2249</v>
      </c>
      <c r="N158" s="7" t="n">
        <f aca="false">M158*0.453592</f>
        <v>1020.128408</v>
      </c>
      <c r="O158" s="3" t="s">
        <v>26</v>
      </c>
      <c r="P158" s="3" t="s">
        <v>27</v>
      </c>
      <c r="Q158" s="8" t="n">
        <f aca="false">J158/M158</f>
        <v>0.11293908403735</v>
      </c>
      <c r="R158" s="8" t="n">
        <f aca="false">J158/N158</f>
        <v>0.24898826266193</v>
      </c>
      <c r="S158" s="4" t="s">
        <v>99</v>
      </c>
    </row>
    <row r="159" customFormat="false" ht="14.25" hidden="false" customHeight="true" outlineLevel="0" collapsed="false">
      <c r="A159" s="3" t="s">
        <v>304</v>
      </c>
      <c r="B159" s="4" t="s">
        <v>300</v>
      </c>
      <c r="C159" s="4" t="s">
        <v>305</v>
      </c>
      <c r="D159" s="4" t="s">
        <v>65</v>
      </c>
      <c r="E159" s="3" t="s">
        <v>23</v>
      </c>
      <c r="F159" s="3" t="n">
        <v>494</v>
      </c>
      <c r="G159" s="4" t="s">
        <v>24</v>
      </c>
      <c r="H159" s="5" t="n">
        <v>48000000</v>
      </c>
      <c r="I159" s="3" t="s">
        <v>66</v>
      </c>
      <c r="J159" s="6" t="n">
        <v>300</v>
      </c>
      <c r="K159" s="6" t="n">
        <v>216</v>
      </c>
      <c r="L159" s="7" t="n">
        <f aca="false">K159*1.35582</f>
        <v>292.85712</v>
      </c>
      <c r="M159" s="6" t="n">
        <v>2299</v>
      </c>
      <c r="N159" s="7" t="n">
        <f aca="false">M159*0.453592</f>
        <v>1042.808008</v>
      </c>
      <c r="O159" s="3" t="s">
        <v>26</v>
      </c>
      <c r="P159" s="3" t="s">
        <v>27</v>
      </c>
      <c r="Q159" s="8" t="n">
        <f aca="false">J159/M159</f>
        <v>0.130491518051327</v>
      </c>
      <c r="R159" s="8" t="n">
        <f aca="false">J159/N159</f>
        <v>0.287684787322807</v>
      </c>
      <c r="S159" s="4" t="s">
        <v>35</v>
      </c>
    </row>
    <row r="160" customFormat="false" ht="14.25" hidden="false" customHeight="true" outlineLevel="0" collapsed="false">
      <c r="A160" s="3" t="s">
        <v>247</v>
      </c>
      <c r="B160" s="4" t="s">
        <v>300</v>
      </c>
      <c r="C160" s="4" t="s">
        <v>306</v>
      </c>
      <c r="D160" s="4" t="s">
        <v>82</v>
      </c>
      <c r="E160" s="3" t="s">
        <v>39</v>
      </c>
      <c r="F160" s="3" t="n">
        <v>579</v>
      </c>
      <c r="G160" s="4" t="s">
        <v>24</v>
      </c>
      <c r="H160" s="5" t="n">
        <v>1000000</v>
      </c>
      <c r="I160" s="3" t="s">
        <v>55</v>
      </c>
      <c r="J160" s="6" t="n">
        <v>330</v>
      </c>
      <c r="K160" s="6" t="n">
        <v>240</v>
      </c>
      <c r="L160" s="7" t="n">
        <f aca="false">K160*1.35582</f>
        <v>325.3968</v>
      </c>
      <c r="M160" s="6" t="n">
        <v>2624</v>
      </c>
      <c r="N160" s="7" t="n">
        <f aca="false">M160*0.453592</f>
        <v>1190.225408</v>
      </c>
      <c r="O160" s="3" t="s">
        <v>26</v>
      </c>
      <c r="P160" s="3" t="s">
        <v>27</v>
      </c>
      <c r="Q160" s="8" t="n">
        <f aca="false">J160/M160</f>
        <v>0.125762195121951</v>
      </c>
      <c r="R160" s="8" t="n">
        <f aca="false">J160/N160</f>
        <v>0.277258406501771</v>
      </c>
      <c r="S160" s="4" t="s">
        <v>75</v>
      </c>
    </row>
    <row r="161" customFormat="false" ht="14.25" hidden="false" customHeight="true" outlineLevel="0" collapsed="false">
      <c r="A161" s="3" t="s">
        <v>268</v>
      </c>
      <c r="B161" s="4" t="s">
        <v>300</v>
      </c>
      <c r="C161" s="4" t="s">
        <v>307</v>
      </c>
      <c r="D161" s="4" t="s">
        <v>186</v>
      </c>
      <c r="E161" s="3" t="s">
        <v>70</v>
      </c>
      <c r="F161" s="3" t="n">
        <v>643</v>
      </c>
      <c r="G161" s="4" t="s">
        <v>24</v>
      </c>
      <c r="H161" s="5"/>
      <c r="I161" s="3"/>
      <c r="J161" s="6" t="n">
        <v>395</v>
      </c>
      <c r="K161" s="6" t="n">
        <v>366</v>
      </c>
      <c r="L161" s="7" t="n">
        <f aca="false">K161*1.35582</f>
        <v>496.23012</v>
      </c>
      <c r="M161" s="6" t="n">
        <v>2822</v>
      </c>
      <c r="N161" s="7" t="n">
        <f aca="false">M161*0.453592</f>
        <v>1280.036624</v>
      </c>
      <c r="O161" s="3"/>
      <c r="P161" s="3"/>
      <c r="Q161" s="8" t="n">
        <f aca="false">J161/M161</f>
        <v>0.139971651311127</v>
      </c>
      <c r="R161" s="8" t="n">
        <f aca="false">J161/N161</f>
        <v>0.308584920613959</v>
      </c>
      <c r="S161" s="4" t="s">
        <v>105</v>
      </c>
    </row>
    <row r="162" customFormat="false" ht="14.25" hidden="false" customHeight="true" outlineLevel="0" collapsed="false">
      <c r="A162" s="3" t="s">
        <v>51</v>
      </c>
      <c r="B162" s="4" t="s">
        <v>300</v>
      </c>
      <c r="C162" s="4" t="s">
        <v>308</v>
      </c>
      <c r="D162" s="4" t="s">
        <v>53</v>
      </c>
      <c r="E162" s="3" t="s">
        <v>109</v>
      </c>
      <c r="F162" s="3" t="n">
        <v>811</v>
      </c>
      <c r="G162" s="4" t="s">
        <v>24</v>
      </c>
      <c r="H162" s="5" t="n">
        <v>380000</v>
      </c>
      <c r="I162" s="3" t="s">
        <v>55</v>
      </c>
      <c r="J162" s="6" t="n">
        <v>818</v>
      </c>
      <c r="K162" s="6" t="n">
        <v>663</v>
      </c>
      <c r="L162" s="7" t="n">
        <f aca="false">K162*1.35582</f>
        <v>898.90866</v>
      </c>
      <c r="M162" s="6" t="n">
        <v>3472</v>
      </c>
      <c r="N162" s="7" t="n">
        <f aca="false">M162*0.453592</f>
        <v>1574.871424</v>
      </c>
      <c r="O162" s="3"/>
      <c r="P162" s="3"/>
      <c r="Q162" s="8" t="n">
        <f aca="false">J162/M162</f>
        <v>0.235599078341014</v>
      </c>
      <c r="R162" s="8" t="n">
        <f aca="false">J162/N162</f>
        <v>0.51940748148339</v>
      </c>
      <c r="S162" s="4" t="s">
        <v>28</v>
      </c>
    </row>
    <row r="163" customFormat="false" ht="14.25" hidden="false" customHeight="true" outlineLevel="0" collapsed="false">
      <c r="A163" s="3" t="s">
        <v>71</v>
      </c>
      <c r="B163" s="4" t="s">
        <v>300</v>
      </c>
      <c r="C163" s="4" t="s">
        <v>309</v>
      </c>
      <c r="D163" s="4" t="s">
        <v>53</v>
      </c>
      <c r="E163" s="3" t="s">
        <v>54</v>
      </c>
      <c r="F163" s="3" t="n">
        <v>702</v>
      </c>
      <c r="G163" s="4" t="s">
        <v>24</v>
      </c>
      <c r="H163" s="5" t="n">
        <v>355000</v>
      </c>
      <c r="I163" s="3" t="s">
        <v>55</v>
      </c>
      <c r="J163" s="6" t="n">
        <v>503</v>
      </c>
      <c r="K163" s="6" t="n">
        <v>346</v>
      </c>
      <c r="L163" s="7" t="n">
        <f aca="false">K163*1.35582</f>
        <v>469.11372</v>
      </c>
      <c r="M163" s="6" t="n">
        <v>3150</v>
      </c>
      <c r="N163" s="7" t="n">
        <f aca="false">M163*0.453592</f>
        <v>1428.8148</v>
      </c>
      <c r="O163" s="3" t="s">
        <v>26</v>
      </c>
      <c r="P163" s="3" t="s">
        <v>67</v>
      </c>
      <c r="Q163" s="8" t="n">
        <f aca="false">J163/M163</f>
        <v>0.15968253968254</v>
      </c>
      <c r="R163" s="8" t="n">
        <f aca="false">J163/N163</f>
        <v>0.352040026461092</v>
      </c>
      <c r="S163" s="4" t="s">
        <v>35</v>
      </c>
    </row>
    <row r="164" customFormat="false" ht="14.25" hidden="false" customHeight="true" outlineLevel="0" collapsed="false">
      <c r="A164" s="3" t="s">
        <v>159</v>
      </c>
      <c r="B164" s="4" t="s">
        <v>300</v>
      </c>
      <c r="C164" s="4" t="s">
        <v>310</v>
      </c>
      <c r="D164" s="4" t="s">
        <v>53</v>
      </c>
      <c r="E164" s="3" t="s">
        <v>54</v>
      </c>
      <c r="F164" s="3" t="n">
        <v>721</v>
      </c>
      <c r="G164" s="4" t="s">
        <v>24</v>
      </c>
      <c r="H164" s="5" t="n">
        <v>210000</v>
      </c>
      <c r="I164" s="3" t="s">
        <v>55</v>
      </c>
      <c r="J164" s="6" t="n">
        <v>562</v>
      </c>
      <c r="K164" s="6" t="n">
        <v>398</v>
      </c>
      <c r="L164" s="7" t="n">
        <f aca="false">K164*1.35582</f>
        <v>539.61636</v>
      </c>
      <c r="M164" s="6" t="n">
        <v>3274</v>
      </c>
      <c r="N164" s="7" t="n">
        <f aca="false">M164*0.453592</f>
        <v>1485.060208</v>
      </c>
      <c r="O164" s="3" t="s">
        <v>26</v>
      </c>
      <c r="P164" s="3" t="s">
        <v>67</v>
      </c>
      <c r="Q164" s="8" t="n">
        <f aca="false">J164/M164</f>
        <v>0.171655467318265</v>
      </c>
      <c r="R164" s="8" t="n">
        <f aca="false">J164/N164</f>
        <v>0.378435835107906</v>
      </c>
      <c r="S164" s="4" t="s">
        <v>35</v>
      </c>
    </row>
    <row r="165" customFormat="false" ht="14.25" hidden="false" customHeight="true" outlineLevel="0" collapsed="false">
      <c r="A165" s="3" t="s">
        <v>106</v>
      </c>
      <c r="B165" s="4" t="s">
        <v>300</v>
      </c>
      <c r="C165" s="4" t="s">
        <v>311</v>
      </c>
      <c r="D165" s="4" t="s">
        <v>171</v>
      </c>
      <c r="E165" s="3" t="s">
        <v>54</v>
      </c>
      <c r="F165" s="3" t="n">
        <v>768</v>
      </c>
      <c r="G165" s="4" t="s">
        <v>24</v>
      </c>
      <c r="H165" s="5" t="n">
        <v>500000</v>
      </c>
      <c r="I165" s="3" t="s">
        <v>55</v>
      </c>
      <c r="J165" s="6" t="n">
        <v>597</v>
      </c>
      <c r="K165" s="6" t="n">
        <v>398</v>
      </c>
      <c r="L165" s="7" t="n">
        <f aca="false">K165*1.35582</f>
        <v>539.61636</v>
      </c>
      <c r="M165" s="6" t="n">
        <v>3075</v>
      </c>
      <c r="N165" s="7" t="n">
        <f aca="false">M165*0.453592</f>
        <v>1394.7954</v>
      </c>
      <c r="O165" s="3" t="s">
        <v>26</v>
      </c>
      <c r="P165" s="3" t="s">
        <v>67</v>
      </c>
      <c r="Q165" s="8" t="n">
        <f aca="false">J165/M165</f>
        <v>0.194146341463415</v>
      </c>
      <c r="R165" s="8" t="n">
        <f aca="false">J165/N165</f>
        <v>0.428019765479582</v>
      </c>
      <c r="S165" s="4" t="s">
        <v>35</v>
      </c>
    </row>
    <row r="166" customFormat="false" ht="14.25" hidden="false" customHeight="true" outlineLevel="0" collapsed="false">
      <c r="A166" s="3" t="s">
        <v>36</v>
      </c>
      <c r="B166" s="4" t="s">
        <v>300</v>
      </c>
      <c r="C166" s="4" t="s">
        <v>312</v>
      </c>
      <c r="D166" s="4" t="s">
        <v>53</v>
      </c>
      <c r="E166" s="3" t="s">
        <v>54</v>
      </c>
      <c r="F166" s="3" t="n">
        <v>770</v>
      </c>
      <c r="G166" s="4" t="s">
        <v>24</v>
      </c>
      <c r="H166" s="5" t="n">
        <v>250000</v>
      </c>
      <c r="I166" s="3" t="s">
        <v>55</v>
      </c>
      <c r="J166" s="6" t="n">
        <v>660</v>
      </c>
      <c r="K166" s="6" t="n">
        <v>560</v>
      </c>
      <c r="L166" s="7" t="n">
        <f aca="false">K166*1.35582</f>
        <v>759.2592</v>
      </c>
      <c r="M166" s="6" t="n">
        <v>3252</v>
      </c>
      <c r="N166" s="7" t="n">
        <f aca="false">M166*0.453592</f>
        <v>1475.081184</v>
      </c>
      <c r="O166" s="3" t="s">
        <v>26</v>
      </c>
      <c r="P166" s="3" t="s">
        <v>67</v>
      </c>
      <c r="Q166" s="8" t="n">
        <f aca="false">J166/M166</f>
        <v>0.202952029520295</v>
      </c>
      <c r="R166" s="8" t="n">
        <f aca="false">J166/N166</f>
        <v>0.447433000406302</v>
      </c>
      <c r="S166" s="4" t="s">
        <v>35</v>
      </c>
    </row>
    <row r="167" customFormat="false" ht="14.25" hidden="false" customHeight="true" outlineLevel="0" collapsed="false">
      <c r="A167" s="3" t="s">
        <v>121</v>
      </c>
      <c r="B167" s="4" t="s">
        <v>300</v>
      </c>
      <c r="C167" s="4" t="s">
        <v>313</v>
      </c>
      <c r="D167" s="4" t="s">
        <v>171</v>
      </c>
      <c r="E167" s="3" t="s">
        <v>109</v>
      </c>
      <c r="F167" s="3" t="n">
        <v>803</v>
      </c>
      <c r="G167" s="4" t="s">
        <v>24</v>
      </c>
      <c r="H167" s="5" t="n">
        <v>716000</v>
      </c>
      <c r="I167" s="3" t="s">
        <v>55</v>
      </c>
      <c r="J167" s="6" t="n">
        <v>711</v>
      </c>
      <c r="K167" s="6" t="n">
        <v>567</v>
      </c>
      <c r="L167" s="7" t="n">
        <f aca="false">K167*1.35582</f>
        <v>768.74994</v>
      </c>
      <c r="M167" s="6" t="n">
        <v>3053</v>
      </c>
      <c r="N167" s="7" t="n">
        <f aca="false">M167*0.453592</f>
        <v>1384.816376</v>
      </c>
      <c r="O167" s="3" t="s">
        <v>26</v>
      </c>
      <c r="P167" s="3" t="s">
        <v>67</v>
      </c>
      <c r="Q167" s="8" t="n">
        <f aca="false">J167/M167</f>
        <v>0.232885686210285</v>
      </c>
      <c r="R167" s="8" t="n">
        <f aca="false">J167/N167</f>
        <v>0.513425470930451</v>
      </c>
      <c r="S167" s="4" t="s">
        <v>35</v>
      </c>
    </row>
    <row r="168" customFormat="false" ht="14.25" hidden="false" customHeight="true" outlineLevel="0" collapsed="false">
      <c r="A168" s="3" t="s">
        <v>237</v>
      </c>
      <c r="B168" s="4" t="s">
        <v>300</v>
      </c>
      <c r="C168" s="4" t="s">
        <v>314</v>
      </c>
      <c r="D168" s="4" t="s">
        <v>65</v>
      </c>
      <c r="E168" s="3" t="s">
        <v>54</v>
      </c>
      <c r="F168" s="3" t="n">
        <v>774</v>
      </c>
      <c r="G168" s="4" t="s">
        <v>24</v>
      </c>
      <c r="H168" s="5" t="n">
        <v>3600000</v>
      </c>
      <c r="I168" s="3" t="s">
        <v>66</v>
      </c>
      <c r="J168" s="6" t="n">
        <v>542</v>
      </c>
      <c r="K168" s="6" t="n">
        <v>371</v>
      </c>
      <c r="L168" s="7" t="n">
        <f aca="false">K168*1.35582</f>
        <v>503.00922</v>
      </c>
      <c r="M168" s="6" t="n">
        <v>2090</v>
      </c>
      <c r="N168" s="7" t="n">
        <f aca="false">M168*0.453592</f>
        <v>948.00728</v>
      </c>
      <c r="O168" s="3" t="s">
        <v>26</v>
      </c>
      <c r="P168" s="3" t="s">
        <v>67</v>
      </c>
      <c r="Q168" s="8" t="n">
        <f aca="false">J168/M168</f>
        <v>0.25933014354067</v>
      </c>
      <c r="R168" s="8" t="n">
        <f aca="false">J168/N168</f>
        <v>0.571725567339525</v>
      </c>
      <c r="S168" s="4" t="s">
        <v>35</v>
      </c>
    </row>
    <row r="169" customFormat="false" ht="14.25" hidden="false" customHeight="true" outlineLevel="0" collapsed="false">
      <c r="A169" s="3" t="s">
        <v>58</v>
      </c>
      <c r="B169" s="4" t="s">
        <v>300</v>
      </c>
      <c r="C169" s="4" t="s">
        <v>315</v>
      </c>
      <c r="D169" s="4" t="s">
        <v>186</v>
      </c>
      <c r="E169" s="3" t="s">
        <v>70</v>
      </c>
      <c r="F169" s="3" t="n">
        <v>615</v>
      </c>
      <c r="G169" s="4" t="s">
        <v>24</v>
      </c>
      <c r="H169" s="5"/>
      <c r="I169" s="3"/>
      <c r="J169" s="6" t="n">
        <v>421</v>
      </c>
      <c r="K169" s="6" t="n">
        <v>360</v>
      </c>
      <c r="L169" s="7" t="n">
        <f aca="false">K169*1.35582</f>
        <v>488.0952</v>
      </c>
      <c r="M169" s="6" t="n">
        <v>3690</v>
      </c>
      <c r="N169" s="7" t="n">
        <f aca="false">M169*0.453592</f>
        <v>1673.75448</v>
      </c>
      <c r="O169" s="3"/>
      <c r="P169" s="3"/>
      <c r="Q169" s="8" t="n">
        <f aca="false">J169/M169</f>
        <v>0.114092140921409</v>
      </c>
      <c r="R169" s="8" t="n">
        <f aca="false">J169/N169</f>
        <v>0.251530320026388</v>
      </c>
      <c r="S169" s="4" t="s">
        <v>105</v>
      </c>
    </row>
    <row r="170" customFormat="false" ht="14.25" hidden="false" customHeight="true" outlineLevel="0" collapsed="false">
      <c r="A170" s="3" t="s">
        <v>159</v>
      </c>
      <c r="B170" s="4" t="s">
        <v>300</v>
      </c>
      <c r="C170" s="4" t="s">
        <v>316</v>
      </c>
      <c r="D170" s="4" t="s">
        <v>103</v>
      </c>
      <c r="E170" s="3" t="s">
        <v>109</v>
      </c>
      <c r="F170" s="3" t="n">
        <v>840</v>
      </c>
      <c r="G170" s="4" t="s">
        <v>24</v>
      </c>
      <c r="H170" s="5" t="n">
        <v>2000000</v>
      </c>
      <c r="I170" s="3" t="s">
        <v>66</v>
      </c>
      <c r="J170" s="6" t="n">
        <v>691</v>
      </c>
      <c r="K170" s="6" t="n">
        <v>479</v>
      </c>
      <c r="L170" s="7" t="n">
        <f aca="false">K170*1.35582</f>
        <v>649.43778</v>
      </c>
      <c r="M170" s="6" t="n">
        <v>3115</v>
      </c>
      <c r="N170" s="7" t="n">
        <f aca="false">M170*0.453592</f>
        <v>1412.93908</v>
      </c>
      <c r="O170" s="3" t="s">
        <v>26</v>
      </c>
      <c r="P170" s="3" t="s">
        <v>27</v>
      </c>
      <c r="Q170" s="8" t="n">
        <f aca="false">J170/M170</f>
        <v>0.221829855537721</v>
      </c>
      <c r="R170" s="8" t="n">
        <f aca="false">J170/N170</f>
        <v>0.489051516644299</v>
      </c>
      <c r="S170" s="4" t="s">
        <v>35</v>
      </c>
    </row>
    <row r="171" customFormat="false" ht="14.25" hidden="false" customHeight="true" outlineLevel="0" collapsed="false">
      <c r="A171" s="3" t="s">
        <v>203</v>
      </c>
      <c r="B171" s="4" t="s">
        <v>300</v>
      </c>
      <c r="C171" s="4" t="s">
        <v>317</v>
      </c>
      <c r="D171" s="4" t="s">
        <v>103</v>
      </c>
      <c r="E171" s="3" t="s">
        <v>109</v>
      </c>
      <c r="F171" s="3" t="n">
        <v>894</v>
      </c>
      <c r="G171" s="4" t="s">
        <v>24</v>
      </c>
      <c r="H171" s="5"/>
      <c r="I171" s="3"/>
      <c r="J171" s="6" t="n">
        <v>740</v>
      </c>
      <c r="K171" s="6" t="n">
        <v>516</v>
      </c>
      <c r="L171" s="7" t="n">
        <f aca="false">K171*1.35582</f>
        <v>699.60312</v>
      </c>
      <c r="M171" s="6" t="n">
        <v>3010</v>
      </c>
      <c r="N171" s="7" t="n">
        <f aca="false">M171*0.453592</f>
        <v>1365.31192</v>
      </c>
      <c r="O171" s="3"/>
      <c r="P171" s="3"/>
      <c r="Q171" s="8" t="n">
        <f aca="false">J171/M171</f>
        <v>0.245847176079734</v>
      </c>
      <c r="R171" s="8" t="n">
        <f aca="false">J171/N171</f>
        <v>0.542000688018603</v>
      </c>
      <c r="S171" s="4" t="s">
        <v>105</v>
      </c>
    </row>
    <row r="172" customFormat="false" ht="14.25" hidden="false" customHeight="true" outlineLevel="0" collapsed="false">
      <c r="A172" s="3" t="s">
        <v>100</v>
      </c>
      <c r="B172" s="4" t="s">
        <v>300</v>
      </c>
      <c r="C172" s="4" t="s">
        <v>318</v>
      </c>
      <c r="D172" s="4" t="s">
        <v>115</v>
      </c>
      <c r="E172" s="3" t="s">
        <v>54</v>
      </c>
      <c r="F172" s="3" t="n">
        <v>780</v>
      </c>
      <c r="G172" s="4" t="s">
        <v>24</v>
      </c>
      <c r="H172" s="5" t="n">
        <v>395000</v>
      </c>
      <c r="I172" s="3" t="s">
        <v>66</v>
      </c>
      <c r="J172" s="6" t="n">
        <v>788</v>
      </c>
      <c r="K172" s="6" t="n">
        <v>529</v>
      </c>
      <c r="L172" s="7" t="n">
        <f aca="false">K172*1.35582</f>
        <v>717.22878</v>
      </c>
      <c r="M172" s="6" t="n">
        <v>3594</v>
      </c>
      <c r="N172" s="7" t="n">
        <f aca="false">M172*0.453592</f>
        <v>1630.209648</v>
      </c>
      <c r="O172" s="3" t="s">
        <v>26</v>
      </c>
      <c r="P172" s="3" t="s">
        <v>27</v>
      </c>
      <c r="Q172" s="8" t="n">
        <f aca="false">J172/M172</f>
        <v>0.219254312743461</v>
      </c>
      <c r="R172" s="8" t="n">
        <f aca="false">J172/N172</f>
        <v>0.483373412104846</v>
      </c>
      <c r="S172" s="4" t="s">
        <v>35</v>
      </c>
    </row>
    <row r="173" customFormat="false" ht="14.25" hidden="false" customHeight="true" outlineLevel="0" collapsed="false">
      <c r="A173" s="3" t="s">
        <v>233</v>
      </c>
      <c r="B173" s="4" t="s">
        <v>300</v>
      </c>
      <c r="C173" s="4" t="s">
        <v>319</v>
      </c>
      <c r="D173" s="4" t="s">
        <v>82</v>
      </c>
      <c r="E173" s="3" t="s">
        <v>23</v>
      </c>
      <c r="F173" s="3" t="n">
        <v>428</v>
      </c>
      <c r="G173" s="4" t="s">
        <v>24</v>
      </c>
      <c r="H173" s="5" t="n">
        <v>390000</v>
      </c>
      <c r="I173" s="3" t="s">
        <v>55</v>
      </c>
      <c r="J173" s="6" t="n">
        <v>195</v>
      </c>
      <c r="K173" s="6" t="n">
        <v>165</v>
      </c>
      <c r="L173" s="7" t="n">
        <f aca="false">K173*1.35582</f>
        <v>223.7103</v>
      </c>
      <c r="M173" s="6" t="n">
        <v>2380</v>
      </c>
      <c r="N173" s="7" t="n">
        <f aca="false">M173*0.453592</f>
        <v>1079.54896</v>
      </c>
      <c r="O173" s="3" t="s">
        <v>26</v>
      </c>
      <c r="P173" s="3" t="s">
        <v>67</v>
      </c>
      <c r="Q173" s="8" t="n">
        <f aca="false">J173/M173</f>
        <v>0.0819327731092437</v>
      </c>
      <c r="R173" s="8" t="n">
        <f aca="false">J173/N173</f>
        <v>0.180630992410015</v>
      </c>
      <c r="S173" s="4" t="s">
        <v>35</v>
      </c>
    </row>
    <row r="174" customFormat="false" ht="14.25" hidden="false" customHeight="true" outlineLevel="0" collapsed="false">
      <c r="A174" s="3" t="s">
        <v>56</v>
      </c>
      <c r="B174" s="4" t="s">
        <v>300</v>
      </c>
      <c r="C174" s="4" t="s">
        <v>320</v>
      </c>
      <c r="D174" s="4" t="s">
        <v>186</v>
      </c>
      <c r="E174" s="3" t="s">
        <v>54</v>
      </c>
      <c r="F174" s="3" t="n">
        <v>755</v>
      </c>
      <c r="G174" s="4" t="s">
        <v>24</v>
      </c>
      <c r="H174" s="5" t="n">
        <v>3500000</v>
      </c>
      <c r="I174" s="3" t="s">
        <v>66</v>
      </c>
      <c r="J174" s="6" t="n">
        <v>650</v>
      </c>
      <c r="K174" s="6" t="n">
        <v>484</v>
      </c>
      <c r="L174" s="7" t="n">
        <f aca="false">K174*1.35582</f>
        <v>656.21688</v>
      </c>
      <c r="M174" s="6" t="n">
        <v>3263</v>
      </c>
      <c r="N174" s="7" t="n">
        <f aca="false">M174*0.453592</f>
        <v>1480.070696</v>
      </c>
      <c r="O174" s="3" t="s">
        <v>26</v>
      </c>
      <c r="P174" s="3" t="s">
        <v>67</v>
      </c>
      <c r="Q174" s="8" t="n">
        <f aca="false">J174/M174</f>
        <v>0.199203187250996</v>
      </c>
      <c r="R174" s="8" t="n">
        <f aca="false">J174/N174</f>
        <v>0.439168211191988</v>
      </c>
      <c r="S174" s="4" t="s">
        <v>63</v>
      </c>
    </row>
    <row r="175" customFormat="false" ht="14.25" hidden="false" customHeight="true" outlineLevel="0" collapsed="false">
      <c r="A175" s="3" t="s">
        <v>94</v>
      </c>
      <c r="B175" s="4" t="s">
        <v>300</v>
      </c>
      <c r="C175" s="4" t="s">
        <v>321</v>
      </c>
      <c r="D175" s="4" t="s">
        <v>115</v>
      </c>
      <c r="E175" s="3" t="s">
        <v>54</v>
      </c>
      <c r="F175" s="3" t="n">
        <v>788</v>
      </c>
      <c r="G175" s="4" t="s">
        <v>24</v>
      </c>
      <c r="H175" s="5" t="n">
        <v>500000</v>
      </c>
      <c r="I175" s="3" t="s">
        <v>55</v>
      </c>
      <c r="J175" s="6" t="n">
        <v>769</v>
      </c>
      <c r="K175" s="6" t="n">
        <v>519</v>
      </c>
      <c r="L175" s="7" t="n">
        <f aca="false">K175*1.35582</f>
        <v>703.67058</v>
      </c>
      <c r="M175" s="6" t="n">
        <v>3351</v>
      </c>
      <c r="N175" s="7" t="n">
        <f aca="false">M175*0.453592</f>
        <v>1519.986792</v>
      </c>
      <c r="O175" s="3" t="s">
        <v>26</v>
      </c>
      <c r="P175" s="3" t="s">
        <v>27</v>
      </c>
      <c r="Q175" s="8" t="n">
        <f aca="false">J175/M175</f>
        <v>0.22948373619815</v>
      </c>
      <c r="R175" s="8" t="n">
        <f aca="false">J175/N175</f>
        <v>0.505925448857453</v>
      </c>
      <c r="S175" s="4" t="s">
        <v>35</v>
      </c>
    </row>
    <row r="176" customFormat="false" ht="14.25" hidden="false" customHeight="true" outlineLevel="0" collapsed="false">
      <c r="A176" s="3" t="s">
        <v>322</v>
      </c>
      <c r="B176" s="4" t="s">
        <v>300</v>
      </c>
      <c r="C176" s="4" t="s">
        <v>323</v>
      </c>
      <c r="D176" s="4" t="s">
        <v>186</v>
      </c>
      <c r="E176" s="3" t="s">
        <v>39</v>
      </c>
      <c r="F176" s="3" t="n">
        <v>588</v>
      </c>
      <c r="G176" s="4" t="s">
        <v>24</v>
      </c>
      <c r="H176" s="5" t="n">
        <v>250000</v>
      </c>
      <c r="I176" s="3" t="s">
        <v>55</v>
      </c>
      <c r="J176" s="6" t="n">
        <v>375</v>
      </c>
      <c r="K176" s="6" t="n">
        <v>268</v>
      </c>
      <c r="L176" s="7" t="n">
        <f aca="false">K176*1.35582</f>
        <v>363.35976</v>
      </c>
      <c r="M176" s="6" t="n">
        <v>3196</v>
      </c>
      <c r="N176" s="7" t="n">
        <f aca="false">M176*0.453592</f>
        <v>1449.680032</v>
      </c>
      <c r="O176" s="3"/>
      <c r="P176" s="3"/>
      <c r="Q176" s="8" t="n">
        <f aca="false">J176/M176</f>
        <v>0.117334167709637</v>
      </c>
      <c r="R176" s="8" t="n">
        <f aca="false">J176/N176</f>
        <v>0.258677771454605</v>
      </c>
      <c r="S176" s="4" t="s">
        <v>105</v>
      </c>
    </row>
    <row r="177" customFormat="false" ht="14.25" hidden="false" customHeight="true" outlineLevel="0" collapsed="false">
      <c r="A177" s="3" t="s">
        <v>211</v>
      </c>
      <c r="B177" s="4" t="s">
        <v>300</v>
      </c>
      <c r="C177" s="4" t="s">
        <v>324</v>
      </c>
      <c r="D177" s="4" t="s">
        <v>186</v>
      </c>
      <c r="E177" s="3" t="s">
        <v>70</v>
      </c>
      <c r="F177" s="3" t="n">
        <v>678</v>
      </c>
      <c r="G177" s="4" t="s">
        <v>24</v>
      </c>
      <c r="H177" s="5" t="n">
        <v>2000000</v>
      </c>
      <c r="I177" s="3" t="s">
        <v>66</v>
      </c>
      <c r="J177" s="6" t="n">
        <v>478</v>
      </c>
      <c r="K177" s="6" t="n">
        <v>424</v>
      </c>
      <c r="L177" s="7" t="n">
        <f aca="false">K177*1.35582</f>
        <v>574.86768</v>
      </c>
      <c r="M177" s="6" t="n">
        <v>2980</v>
      </c>
      <c r="N177" s="7" t="n">
        <f aca="false">M177*0.453592</f>
        <v>1351.70416</v>
      </c>
      <c r="O177" s="3" t="s">
        <v>26</v>
      </c>
      <c r="P177" s="3" t="s">
        <v>67</v>
      </c>
      <c r="Q177" s="8" t="n">
        <f aca="false">J177/M177</f>
        <v>0.160402684563758</v>
      </c>
      <c r="R177" s="8" t="n">
        <f aca="false">J177/N177</f>
        <v>0.353627675452297</v>
      </c>
      <c r="S177" s="4" t="s">
        <v>99</v>
      </c>
    </row>
    <row r="178" customFormat="false" ht="14.25" hidden="false" customHeight="true" outlineLevel="0" collapsed="false">
      <c r="A178" s="3" t="s">
        <v>325</v>
      </c>
      <c r="B178" s="4" t="s">
        <v>300</v>
      </c>
      <c r="C178" s="4" t="s">
        <v>326</v>
      </c>
      <c r="D178" s="4" t="s">
        <v>87</v>
      </c>
      <c r="E178" s="3" t="s">
        <v>88</v>
      </c>
      <c r="F178" s="3" t="n">
        <v>948</v>
      </c>
      <c r="G178" s="4" t="s">
        <v>24</v>
      </c>
      <c r="H178" s="5" t="n">
        <v>3200000</v>
      </c>
      <c r="I178" s="3" t="s">
        <v>66</v>
      </c>
      <c r="J178" s="6" t="n">
        <v>691</v>
      </c>
      <c r="K178" s="6" t="n">
        <v>526</v>
      </c>
      <c r="L178" s="7" t="n">
        <f aca="false">K178*1.35582</f>
        <v>713.16132</v>
      </c>
      <c r="M178" s="6" t="n">
        <v>2315</v>
      </c>
      <c r="N178" s="7" t="n">
        <f aca="false">M178*0.453592</f>
        <v>1050.06548</v>
      </c>
      <c r="O178" s="3" t="s">
        <v>26</v>
      </c>
      <c r="P178" s="3" t="s">
        <v>67</v>
      </c>
      <c r="Q178" s="8" t="n">
        <f aca="false">J178/M178</f>
        <v>0.298488120950324</v>
      </c>
      <c r="R178" s="8" t="n">
        <f aca="false">J178/N178</f>
        <v>0.658054200581853</v>
      </c>
      <c r="S178" s="4" t="s">
        <v>35</v>
      </c>
    </row>
    <row r="179" customFormat="false" ht="14.25" hidden="false" customHeight="true" outlineLevel="0" collapsed="false">
      <c r="A179" s="3" t="s">
        <v>178</v>
      </c>
      <c r="B179" s="4" t="s">
        <v>300</v>
      </c>
      <c r="C179" s="4" t="s">
        <v>327</v>
      </c>
      <c r="D179" s="4" t="s">
        <v>186</v>
      </c>
      <c r="E179" s="3" t="s">
        <v>70</v>
      </c>
      <c r="F179" s="3" t="n">
        <v>678</v>
      </c>
      <c r="G179" s="4" t="s">
        <v>24</v>
      </c>
      <c r="H179" s="5" t="n">
        <v>4500000</v>
      </c>
      <c r="I179" s="3" t="s">
        <v>66</v>
      </c>
      <c r="J179" s="6" t="n">
        <v>513</v>
      </c>
      <c r="K179" s="6" t="n">
        <v>347</v>
      </c>
      <c r="L179" s="7" t="n">
        <f aca="false">K179*1.35582</f>
        <v>470.46954</v>
      </c>
      <c r="M179" s="6" t="n">
        <v>2976</v>
      </c>
      <c r="N179" s="7" t="n">
        <f aca="false">M179*0.453592</f>
        <v>1349.889792</v>
      </c>
      <c r="O179" s="3" t="s">
        <v>26</v>
      </c>
      <c r="P179" s="3" t="s">
        <v>67</v>
      </c>
      <c r="Q179" s="8" t="n">
        <f aca="false">J179/M179</f>
        <v>0.172379032258065</v>
      </c>
      <c r="R179" s="8" t="n">
        <f aca="false">J179/N179</f>
        <v>0.380031024043776</v>
      </c>
      <c r="S179" s="4" t="s">
        <v>35</v>
      </c>
    </row>
    <row r="180" customFormat="false" ht="14.25" hidden="false" customHeight="true" outlineLevel="0" collapsed="false">
      <c r="A180" s="3" t="s">
        <v>255</v>
      </c>
      <c r="B180" s="4" t="s">
        <v>300</v>
      </c>
      <c r="C180" s="4" t="s">
        <v>328</v>
      </c>
      <c r="D180" s="4" t="s">
        <v>103</v>
      </c>
      <c r="E180" s="3" t="s">
        <v>88</v>
      </c>
      <c r="F180" s="3" t="n">
        <v>949</v>
      </c>
      <c r="G180" s="4" t="s">
        <v>24</v>
      </c>
      <c r="H180" s="5"/>
      <c r="I180" s="3"/>
      <c r="J180" s="6" t="n">
        <v>750</v>
      </c>
      <c r="K180" s="6" t="n">
        <v>383</v>
      </c>
      <c r="L180" s="7" t="n">
        <f aca="false">K180*1.35582</f>
        <v>519.27906</v>
      </c>
      <c r="M180" s="6" t="n">
        <v>2002</v>
      </c>
      <c r="N180" s="7" t="n">
        <f aca="false">M180*0.453592</f>
        <v>908.091184</v>
      </c>
      <c r="O180" s="3"/>
      <c r="P180" s="3"/>
      <c r="Q180" s="8" t="n">
        <f aca="false">J180/M180</f>
        <v>0.374625374625375</v>
      </c>
      <c r="R180" s="8" t="n">
        <f aca="false">J180/N180</f>
        <v>0.825908249319597</v>
      </c>
      <c r="S180" s="4" t="s">
        <v>84</v>
      </c>
    </row>
    <row r="181" customFormat="false" ht="14.25" hidden="false" customHeight="true" outlineLevel="0" collapsed="false">
      <c r="A181" s="3" t="s">
        <v>121</v>
      </c>
      <c r="B181" s="4" t="s">
        <v>300</v>
      </c>
      <c r="C181" s="4" t="s">
        <v>329</v>
      </c>
      <c r="D181" s="4" t="s">
        <v>53</v>
      </c>
      <c r="E181" s="3" t="s">
        <v>109</v>
      </c>
      <c r="F181" s="3" t="n">
        <v>802</v>
      </c>
      <c r="G181" s="4" t="s">
        <v>24</v>
      </c>
      <c r="H181" s="5"/>
      <c r="I181" s="3"/>
      <c r="J181" s="6" t="n">
        <v>711</v>
      </c>
      <c r="K181" s="6" t="n">
        <v>567</v>
      </c>
      <c r="L181" s="7" t="n">
        <f aca="false">K181*1.35582</f>
        <v>768.74994</v>
      </c>
      <c r="M181" s="6" t="n">
        <v>3232</v>
      </c>
      <c r="N181" s="7" t="n">
        <f aca="false">M181*0.453592</f>
        <v>1466.009344</v>
      </c>
      <c r="O181" s="3"/>
      <c r="P181" s="3"/>
      <c r="Q181" s="8" t="n">
        <f aca="false">J181/M181</f>
        <v>0.219987623762376</v>
      </c>
      <c r="R181" s="8" t="n">
        <f aca="false">J181/N181</f>
        <v>0.484990087484736</v>
      </c>
      <c r="S181" s="4" t="s">
        <v>105</v>
      </c>
    </row>
    <row r="182" customFormat="false" ht="14.25" hidden="false" customHeight="true" outlineLevel="0" collapsed="false">
      <c r="A182" s="3" t="s">
        <v>330</v>
      </c>
      <c r="B182" s="4" t="s">
        <v>300</v>
      </c>
      <c r="C182" s="4" t="s">
        <v>331</v>
      </c>
      <c r="D182" s="4" t="s">
        <v>126</v>
      </c>
      <c r="E182" s="3" t="s">
        <v>88</v>
      </c>
      <c r="F182" s="3" t="n">
        <v>916</v>
      </c>
      <c r="G182" s="4" t="s">
        <v>24</v>
      </c>
      <c r="H182" s="5" t="n">
        <v>1000000</v>
      </c>
      <c r="I182" s="3" t="s">
        <v>66</v>
      </c>
      <c r="J182" s="6" t="n">
        <v>1184</v>
      </c>
      <c r="K182" s="6" t="n">
        <v>793</v>
      </c>
      <c r="L182" s="7" t="n">
        <f aca="false">K182*1.35582</f>
        <v>1075.16526</v>
      </c>
      <c r="M182" s="6" t="n">
        <v>3699</v>
      </c>
      <c r="N182" s="7" t="n">
        <f aca="false">M182*0.453592</f>
        <v>1677.836808</v>
      </c>
      <c r="O182" s="3" t="s">
        <v>62</v>
      </c>
      <c r="P182" s="3" t="s">
        <v>67</v>
      </c>
      <c r="Q182" s="8" t="n">
        <f aca="false">J182/M182</f>
        <v>0.320086509867532</v>
      </c>
      <c r="R182" s="8" t="n">
        <f aca="false">J182/N182</f>
        <v>0.705670536225356</v>
      </c>
      <c r="S182" s="4" t="s">
        <v>75</v>
      </c>
    </row>
    <row r="183" customFormat="false" ht="14.25" hidden="false" customHeight="true" outlineLevel="0" collapsed="false">
      <c r="A183" s="3" t="s">
        <v>195</v>
      </c>
      <c r="B183" s="4" t="s">
        <v>300</v>
      </c>
      <c r="C183" s="4" t="s">
        <v>332</v>
      </c>
      <c r="D183" s="4" t="s">
        <v>103</v>
      </c>
      <c r="E183" s="3" t="s">
        <v>109</v>
      </c>
      <c r="F183" s="3" t="n">
        <v>900</v>
      </c>
      <c r="G183" s="4" t="s">
        <v>24</v>
      </c>
      <c r="H183" s="5" t="n">
        <v>2500000</v>
      </c>
      <c r="I183" s="3" t="s">
        <v>66</v>
      </c>
      <c r="J183" s="6" t="n">
        <v>789</v>
      </c>
      <c r="K183" s="6" t="n">
        <v>506</v>
      </c>
      <c r="L183" s="7" t="n">
        <f aca="false">K183*1.35582</f>
        <v>686.04492</v>
      </c>
      <c r="M183" s="6" t="n">
        <v>2731</v>
      </c>
      <c r="N183" s="7" t="n">
        <f aca="false">M183*0.453592</f>
        <v>1238.759752</v>
      </c>
      <c r="O183" s="3" t="s">
        <v>26</v>
      </c>
      <c r="P183" s="3" t="s">
        <v>67</v>
      </c>
      <c r="Q183" s="8" t="n">
        <f aca="false">J183/M183</f>
        <v>0.288905162943977</v>
      </c>
      <c r="R183" s="8" t="n">
        <f aca="false">J183/N183</f>
        <v>0.636927377343464</v>
      </c>
      <c r="S183" s="4" t="s">
        <v>35</v>
      </c>
    </row>
    <row r="184" customFormat="false" ht="14.25" hidden="false" customHeight="true" outlineLevel="0" collapsed="false">
      <c r="A184" s="3" t="s">
        <v>68</v>
      </c>
      <c r="B184" s="4" t="s">
        <v>300</v>
      </c>
      <c r="C184" s="4" t="s">
        <v>333</v>
      </c>
      <c r="D184" s="4" t="s">
        <v>103</v>
      </c>
      <c r="E184" s="3" t="s">
        <v>88</v>
      </c>
      <c r="F184" s="3" t="n">
        <v>936</v>
      </c>
      <c r="G184" s="4" t="s">
        <v>24</v>
      </c>
      <c r="H184" s="5" t="n">
        <v>4300000</v>
      </c>
      <c r="I184" s="3" t="s">
        <v>66</v>
      </c>
      <c r="J184" s="6" t="n">
        <v>1036</v>
      </c>
      <c r="K184" s="6" t="n">
        <v>664</v>
      </c>
      <c r="L184" s="7" t="n">
        <f aca="false">K184*1.35582</f>
        <v>900.26448</v>
      </c>
      <c r="M184" s="6" t="n">
        <v>2831</v>
      </c>
      <c r="N184" s="7" t="n">
        <f aca="false">M184*0.453592</f>
        <v>1284.118952</v>
      </c>
      <c r="O184" s="3" t="s">
        <v>26</v>
      </c>
      <c r="P184" s="3" t="s">
        <v>67</v>
      </c>
      <c r="Q184" s="8" t="n">
        <f aca="false">J184/M184</f>
        <v>0.365948428117273</v>
      </c>
      <c r="R184" s="8" t="n">
        <f aca="false">J184/N184</f>
        <v>0.806778841155208</v>
      </c>
      <c r="S184" s="4" t="s">
        <v>35</v>
      </c>
    </row>
    <row r="185" customFormat="false" ht="14.25" hidden="false" customHeight="true" outlineLevel="0" collapsed="false">
      <c r="A185" s="3" t="s">
        <v>100</v>
      </c>
      <c r="B185" s="4" t="s">
        <v>300</v>
      </c>
      <c r="C185" s="4" t="s">
        <v>334</v>
      </c>
      <c r="D185" s="4" t="s">
        <v>103</v>
      </c>
      <c r="E185" s="3" t="s">
        <v>88</v>
      </c>
      <c r="F185" s="3" t="n">
        <v>957</v>
      </c>
      <c r="G185" s="4" t="s">
        <v>24</v>
      </c>
      <c r="H185" s="5" t="n">
        <v>4500000</v>
      </c>
      <c r="I185" s="3" t="s">
        <v>66</v>
      </c>
      <c r="J185" s="6" t="n">
        <v>1036</v>
      </c>
      <c r="K185" s="6" t="n">
        <v>663</v>
      </c>
      <c r="L185" s="7" t="n">
        <f aca="false">K185*1.35582</f>
        <v>898.90866</v>
      </c>
      <c r="M185" s="6" t="n">
        <v>2800</v>
      </c>
      <c r="N185" s="7" t="n">
        <f aca="false">M185*0.453592</f>
        <v>1270.0576</v>
      </c>
      <c r="O185" s="3" t="s">
        <v>26</v>
      </c>
      <c r="P185" s="3" t="s">
        <v>67</v>
      </c>
      <c r="Q185" s="8" t="n">
        <f aca="false">J185/M185</f>
        <v>0.37</v>
      </c>
      <c r="R185" s="8" t="n">
        <f aca="false">J185/N185</f>
        <v>0.815711035467998</v>
      </c>
      <c r="S185" s="4" t="s">
        <v>35</v>
      </c>
    </row>
    <row r="186" customFormat="false" ht="14.25" hidden="false" customHeight="true" outlineLevel="0" collapsed="false">
      <c r="A186" s="3" t="s">
        <v>100</v>
      </c>
      <c r="B186" s="4" t="s">
        <v>300</v>
      </c>
      <c r="C186" s="4" t="s">
        <v>335</v>
      </c>
      <c r="D186" s="4" t="s">
        <v>103</v>
      </c>
      <c r="E186" s="3" t="s">
        <v>88</v>
      </c>
      <c r="F186" s="3" t="n">
        <v>998</v>
      </c>
      <c r="G186" s="4" t="s">
        <v>24</v>
      </c>
      <c r="H186" s="5" t="n">
        <v>250000</v>
      </c>
      <c r="I186" s="3" t="s">
        <v>66</v>
      </c>
      <c r="J186" s="6" t="n">
        <v>1036</v>
      </c>
      <c r="K186" s="6" t="n">
        <v>663</v>
      </c>
      <c r="L186" s="7" t="n">
        <f aca="false">K186*1.35582</f>
        <v>898.90866</v>
      </c>
      <c r="M186" s="6" t="n">
        <v>2304</v>
      </c>
      <c r="N186" s="7" t="n">
        <f aca="false">M186*0.453592</f>
        <v>1045.075968</v>
      </c>
      <c r="O186" s="3" t="s">
        <v>26</v>
      </c>
      <c r="P186" s="3" t="s">
        <v>67</v>
      </c>
      <c r="Q186" s="8" t="n">
        <f aca="false">J186/M186</f>
        <v>0.449652777777778</v>
      </c>
      <c r="R186" s="8" t="n">
        <f aca="false">J186/N186</f>
        <v>0.991315494492358</v>
      </c>
      <c r="S186" s="4" t="s">
        <v>75</v>
      </c>
    </row>
    <row r="187" customFormat="false" ht="14.25" hidden="false" customHeight="true" outlineLevel="0" collapsed="false">
      <c r="A187" s="3" t="s">
        <v>19</v>
      </c>
      <c r="B187" s="4" t="s">
        <v>300</v>
      </c>
      <c r="C187" s="4" t="s">
        <v>336</v>
      </c>
      <c r="D187" s="4" t="s">
        <v>53</v>
      </c>
      <c r="E187" s="3" t="s">
        <v>54</v>
      </c>
      <c r="F187" s="3" t="n">
        <v>772</v>
      </c>
      <c r="G187" s="4" t="s">
        <v>24</v>
      </c>
      <c r="H187" s="5" t="n">
        <v>2500000</v>
      </c>
      <c r="I187" s="3" t="s">
        <v>25</v>
      </c>
      <c r="J187" s="6" t="n">
        <v>681</v>
      </c>
      <c r="K187" s="6" t="n">
        <v>560</v>
      </c>
      <c r="L187" s="7" t="n">
        <f aca="false">K187*1.35582</f>
        <v>759.2592</v>
      </c>
      <c r="M187" s="6" t="n">
        <v>3362</v>
      </c>
      <c r="N187" s="7" t="n">
        <f aca="false">M187*0.453592</f>
        <v>1524.976304</v>
      </c>
      <c r="O187" s="3" t="s">
        <v>26</v>
      </c>
      <c r="P187" s="3" t="s">
        <v>67</v>
      </c>
      <c r="Q187" s="8" t="n">
        <f aca="false">J187/M187</f>
        <v>0.202558001189768</v>
      </c>
      <c r="R187" s="8" t="n">
        <f aca="false">J187/N187</f>
        <v>0.446564315926577</v>
      </c>
      <c r="S187" s="4" t="s">
        <v>35</v>
      </c>
    </row>
    <row r="188" customFormat="false" ht="14.25" hidden="false" customHeight="true" outlineLevel="0" collapsed="false">
      <c r="A188" s="3" t="s">
        <v>19</v>
      </c>
      <c r="B188" s="4" t="s">
        <v>300</v>
      </c>
      <c r="C188" s="4" t="s">
        <v>337</v>
      </c>
      <c r="D188" s="4" t="s">
        <v>53</v>
      </c>
      <c r="E188" s="3" t="s">
        <v>54</v>
      </c>
      <c r="F188" s="3" t="n">
        <v>800</v>
      </c>
      <c r="G188" s="4" t="s">
        <v>24</v>
      </c>
      <c r="H188" s="5" t="n">
        <v>309000</v>
      </c>
      <c r="I188" s="3" t="s">
        <v>66</v>
      </c>
      <c r="J188" s="6" t="n">
        <v>681</v>
      </c>
      <c r="K188" s="6" t="n">
        <v>560</v>
      </c>
      <c r="L188" s="7" t="n">
        <f aca="false">K188*1.35582</f>
        <v>759.2592</v>
      </c>
      <c r="M188" s="6" t="n">
        <v>3051</v>
      </c>
      <c r="N188" s="7" t="n">
        <f aca="false">M188*0.453592</f>
        <v>1383.909192</v>
      </c>
      <c r="O188" s="3" t="s">
        <v>26</v>
      </c>
      <c r="P188" s="3" t="s">
        <v>67</v>
      </c>
      <c r="Q188" s="8" t="n">
        <f aca="false">J188/M188</f>
        <v>0.223205506391347</v>
      </c>
      <c r="R188" s="8" t="n">
        <f aca="false">J188/N188</f>
        <v>0.49208431010985</v>
      </c>
      <c r="S188" s="4" t="s">
        <v>75</v>
      </c>
    </row>
    <row r="189" customFormat="false" ht="14.25" hidden="false" customHeight="true" outlineLevel="0" collapsed="false">
      <c r="A189" s="3" t="s">
        <v>106</v>
      </c>
      <c r="B189" s="4" t="s">
        <v>300</v>
      </c>
      <c r="C189" s="4" t="s">
        <v>338</v>
      </c>
      <c r="D189" s="4" t="s">
        <v>126</v>
      </c>
      <c r="E189" s="3" t="s">
        <v>109</v>
      </c>
      <c r="F189" s="3" t="n">
        <v>857</v>
      </c>
      <c r="G189" s="4" t="s">
        <v>24</v>
      </c>
      <c r="H189" s="5" t="n">
        <v>3000000</v>
      </c>
      <c r="I189" s="3" t="s">
        <v>66</v>
      </c>
      <c r="J189" s="6" t="n">
        <v>963</v>
      </c>
      <c r="K189" s="6" t="n">
        <v>663</v>
      </c>
      <c r="L189" s="7" t="n">
        <f aca="false">K189*1.35582</f>
        <v>898.90866</v>
      </c>
      <c r="M189" s="6" t="n">
        <v>3263</v>
      </c>
      <c r="N189" s="7" t="n">
        <f aca="false">M189*0.453592</f>
        <v>1480.070696</v>
      </c>
      <c r="O189" s="3" t="s">
        <v>26</v>
      </c>
      <c r="P189" s="3" t="s">
        <v>67</v>
      </c>
      <c r="Q189" s="8" t="n">
        <f aca="false">J189/M189</f>
        <v>0.295127183573399</v>
      </c>
      <c r="R189" s="8" t="n">
        <f aca="false">J189/N189</f>
        <v>0.650644595965975</v>
      </c>
      <c r="S189" s="4" t="s">
        <v>35</v>
      </c>
    </row>
    <row r="190" customFormat="false" ht="14.25" hidden="false" customHeight="true" outlineLevel="0" collapsed="false">
      <c r="A190" s="3" t="s">
        <v>121</v>
      </c>
      <c r="B190" s="4" t="s">
        <v>300</v>
      </c>
      <c r="C190" s="4" t="s">
        <v>339</v>
      </c>
      <c r="D190" s="4" t="s">
        <v>115</v>
      </c>
      <c r="E190" s="3" t="s">
        <v>54</v>
      </c>
      <c r="F190" s="3" t="n">
        <v>773</v>
      </c>
      <c r="G190" s="4" t="s">
        <v>24</v>
      </c>
      <c r="H190" s="5" t="n">
        <v>2500000</v>
      </c>
      <c r="I190" s="3" t="s">
        <v>66</v>
      </c>
      <c r="J190" s="6" t="n">
        <v>799</v>
      </c>
      <c r="K190" s="6" t="n">
        <v>530</v>
      </c>
      <c r="L190" s="7" t="n">
        <f aca="false">K190*1.35582</f>
        <v>718.5846</v>
      </c>
      <c r="M190" s="6" t="n">
        <v>3503</v>
      </c>
      <c r="N190" s="7" t="n">
        <f aca="false">M190*0.453592</f>
        <v>1588.932776</v>
      </c>
      <c r="O190" s="3" t="s">
        <v>26</v>
      </c>
      <c r="P190" s="3" t="s">
        <v>27</v>
      </c>
      <c r="Q190" s="8" t="n">
        <f aca="false">J190/M190</f>
        <v>0.228090208392806</v>
      </c>
      <c r="R190" s="8" t="n">
        <f aca="false">J190/N190</f>
        <v>0.502853243427587</v>
      </c>
      <c r="S190" s="4" t="s">
        <v>35</v>
      </c>
    </row>
    <row r="191" customFormat="false" ht="14.25" hidden="false" customHeight="true" outlineLevel="0" collapsed="false">
      <c r="A191" s="3" t="s">
        <v>100</v>
      </c>
      <c r="B191" s="4" t="s">
        <v>300</v>
      </c>
      <c r="C191" s="4" t="s">
        <v>340</v>
      </c>
      <c r="D191" s="4" t="s">
        <v>115</v>
      </c>
      <c r="E191" s="3" t="s">
        <v>54</v>
      </c>
      <c r="F191" s="3" t="n">
        <v>714</v>
      </c>
      <c r="G191" s="4" t="s">
        <v>24</v>
      </c>
      <c r="H191" s="5" t="n">
        <v>200000</v>
      </c>
      <c r="I191" s="3" t="s">
        <v>55</v>
      </c>
      <c r="J191" s="6" t="n">
        <v>591</v>
      </c>
      <c r="K191" s="6" t="n">
        <v>560</v>
      </c>
      <c r="L191" s="7" t="n">
        <f aca="false">K191*1.35582</f>
        <v>759.2592</v>
      </c>
      <c r="M191" s="6" t="n">
        <v>3669</v>
      </c>
      <c r="N191" s="7" t="n">
        <f aca="false">M191*0.453592</f>
        <v>1664.229048</v>
      </c>
      <c r="O191" s="3" t="s">
        <v>26</v>
      </c>
      <c r="P191" s="3" t="s">
        <v>27</v>
      </c>
      <c r="Q191" s="8" t="n">
        <f aca="false">J191/M191</f>
        <v>0.16107931316435</v>
      </c>
      <c r="R191" s="8" t="n">
        <f aca="false">J191/N191</f>
        <v>0.355119387388556</v>
      </c>
      <c r="S191" s="4" t="s">
        <v>35</v>
      </c>
    </row>
    <row r="192" customFormat="false" ht="14.25" hidden="false" customHeight="true" outlineLevel="0" collapsed="false">
      <c r="A192" s="3" t="s">
        <v>141</v>
      </c>
      <c r="B192" s="4" t="s">
        <v>300</v>
      </c>
      <c r="C192" s="4" t="s">
        <v>341</v>
      </c>
      <c r="D192" s="4" t="s">
        <v>115</v>
      </c>
      <c r="E192" s="3" t="s">
        <v>54</v>
      </c>
      <c r="F192" s="3" t="n">
        <v>735</v>
      </c>
      <c r="G192" s="4" t="s">
        <v>24</v>
      </c>
      <c r="H192" s="5" t="n">
        <v>250000</v>
      </c>
      <c r="I192" s="3" t="s">
        <v>55</v>
      </c>
      <c r="J192" s="6" t="n">
        <v>611</v>
      </c>
      <c r="K192" s="6" t="n">
        <v>560</v>
      </c>
      <c r="L192" s="7" t="n">
        <f aca="false">K192*1.35582</f>
        <v>759.2592</v>
      </c>
      <c r="M192" s="6" t="n">
        <v>3627</v>
      </c>
      <c r="N192" s="7" t="n">
        <f aca="false">M192*0.453592</f>
        <v>1645.178184</v>
      </c>
      <c r="O192" s="3"/>
      <c r="P192" s="3"/>
      <c r="Q192" s="8" t="n">
        <f aca="false">J192/M192</f>
        <v>0.168458781362007</v>
      </c>
      <c r="R192" s="8" t="n">
        <f aca="false">J192/N192</f>
        <v>0.371388343185081</v>
      </c>
      <c r="S192" s="4" t="s">
        <v>28</v>
      </c>
    </row>
    <row r="193" customFormat="false" ht="14.25" hidden="false" customHeight="true" outlineLevel="0" collapsed="false">
      <c r="A193" s="3" t="s">
        <v>141</v>
      </c>
      <c r="B193" s="4" t="s">
        <v>300</v>
      </c>
      <c r="C193" s="4" t="s">
        <v>342</v>
      </c>
      <c r="D193" s="4" t="s">
        <v>126</v>
      </c>
      <c r="E193" s="3" t="s">
        <v>109</v>
      </c>
      <c r="F193" s="3" t="n">
        <v>851</v>
      </c>
      <c r="G193" s="4" t="s">
        <v>24</v>
      </c>
      <c r="H193" s="5" t="n">
        <v>575000</v>
      </c>
      <c r="I193" s="3" t="s">
        <v>66</v>
      </c>
      <c r="J193" s="6" t="n">
        <v>986</v>
      </c>
      <c r="K193" s="6" t="n">
        <v>912</v>
      </c>
      <c r="L193" s="7" t="n">
        <f aca="false">K193*1.35582</f>
        <v>1236.50784</v>
      </c>
      <c r="M193" s="6" t="n">
        <v>3684</v>
      </c>
      <c r="N193" s="7" t="n">
        <f aca="false">M193*0.453592</f>
        <v>1671.032928</v>
      </c>
      <c r="O193" s="3" t="s">
        <v>62</v>
      </c>
      <c r="P193" s="3" t="s">
        <v>67</v>
      </c>
      <c r="Q193" s="8" t="n">
        <f aca="false">J193/M193</f>
        <v>0.267643865363735</v>
      </c>
      <c r="R193" s="8" t="n">
        <f aca="false">J193/N193</f>
        <v>0.590054201493269</v>
      </c>
      <c r="S193" s="4" t="s">
        <v>35</v>
      </c>
    </row>
    <row r="194" customFormat="false" ht="14.25" hidden="false" customHeight="true" outlineLevel="0" collapsed="false">
      <c r="A194" s="3" t="s">
        <v>68</v>
      </c>
      <c r="B194" s="4" t="s">
        <v>343</v>
      </c>
      <c r="C194" s="4" t="s">
        <v>344</v>
      </c>
      <c r="D194" s="4" t="s">
        <v>93</v>
      </c>
      <c r="E194" s="3" t="s">
        <v>70</v>
      </c>
      <c r="F194" s="3" t="n">
        <v>613</v>
      </c>
      <c r="G194" s="4" t="s">
        <v>46</v>
      </c>
      <c r="H194" s="5" t="n">
        <v>450000</v>
      </c>
      <c r="I194" s="3" t="s">
        <v>55</v>
      </c>
      <c r="J194" s="6" t="n">
        <v>850</v>
      </c>
      <c r="K194" s="6" t="n">
        <v>690</v>
      </c>
      <c r="L194" s="7" t="n">
        <f aca="false">K194*1.35582</f>
        <v>935.5158</v>
      </c>
      <c r="M194" s="6" t="n">
        <v>6250</v>
      </c>
      <c r="N194" s="7" t="n">
        <f aca="false">M194*0.453592</f>
        <v>2834.95</v>
      </c>
      <c r="O194" s="3" t="s">
        <v>26</v>
      </c>
      <c r="P194" s="3" t="s">
        <v>27</v>
      </c>
      <c r="Q194" s="8" t="n">
        <f aca="false">J194/M194</f>
        <v>0.136</v>
      </c>
      <c r="R194" s="8" t="n">
        <f aca="false">J194/N194</f>
        <v>0.299828921144994</v>
      </c>
      <c r="S194" s="4" t="s">
        <v>35</v>
      </c>
    </row>
    <row r="195" customFormat="false" ht="14.25" hidden="false" customHeight="true" outlineLevel="0" collapsed="false">
      <c r="A195" s="3" t="s">
        <v>19</v>
      </c>
      <c r="B195" s="4" t="s">
        <v>343</v>
      </c>
      <c r="C195" s="4" t="s">
        <v>345</v>
      </c>
      <c r="D195" s="4" t="s">
        <v>136</v>
      </c>
      <c r="E195" s="3" t="s">
        <v>54</v>
      </c>
      <c r="F195" s="3" t="n">
        <v>772</v>
      </c>
      <c r="G195" s="4" t="s">
        <v>46</v>
      </c>
      <c r="H195" s="5" t="n">
        <v>150000</v>
      </c>
      <c r="I195" s="3" t="s">
        <v>55</v>
      </c>
      <c r="J195" s="6" t="n">
        <v>550</v>
      </c>
      <c r="K195" s="6" t="n">
        <v>590</v>
      </c>
      <c r="L195" s="7" t="n">
        <f aca="false">K195*1.35582</f>
        <v>799.9338</v>
      </c>
      <c r="M195" s="6" t="n">
        <v>2746</v>
      </c>
      <c r="N195" s="7" t="n">
        <f aca="false">M195*0.453592</f>
        <v>1245.563632</v>
      </c>
      <c r="O195" s="3" t="s">
        <v>62</v>
      </c>
      <c r="P195" s="3" t="s">
        <v>27</v>
      </c>
      <c r="Q195" s="8" t="n">
        <f aca="false">J195/M195</f>
        <v>0.200291332847779</v>
      </c>
      <c r="R195" s="8" t="n">
        <f aca="false">J195/N195</f>
        <v>0.44156716354737</v>
      </c>
      <c r="S195" s="4" t="s">
        <v>99</v>
      </c>
    </row>
    <row r="196" customFormat="false" ht="14.25" hidden="false" customHeight="true" outlineLevel="0" collapsed="false">
      <c r="A196" s="3" t="s">
        <v>346</v>
      </c>
      <c r="B196" s="4" t="s">
        <v>343</v>
      </c>
      <c r="C196" s="4" t="s">
        <v>347</v>
      </c>
      <c r="D196" s="4" t="s">
        <v>65</v>
      </c>
      <c r="E196" s="3" t="s">
        <v>70</v>
      </c>
      <c r="F196" s="3" t="n">
        <v>666</v>
      </c>
      <c r="G196" s="4" t="s">
        <v>46</v>
      </c>
      <c r="H196" s="5" t="n">
        <v>13200000</v>
      </c>
      <c r="I196" s="3" t="s">
        <v>66</v>
      </c>
      <c r="J196" s="6" t="n">
        <v>485</v>
      </c>
      <c r="K196" s="6" t="n">
        <v>475</v>
      </c>
      <c r="L196" s="7" t="n">
        <f aca="false">K196*1.35582</f>
        <v>644.0145</v>
      </c>
      <c r="M196" s="6" t="n">
        <v>2682</v>
      </c>
      <c r="N196" s="7" t="n">
        <f aca="false">M196*0.453592</f>
        <v>1216.533744</v>
      </c>
      <c r="O196" s="3" t="s">
        <v>26</v>
      </c>
      <c r="P196" s="3" t="s">
        <v>67</v>
      </c>
      <c r="Q196" s="8" t="n">
        <f aca="false">J196/M196</f>
        <v>0.180835197613721</v>
      </c>
      <c r="R196" s="8" t="n">
        <f aca="false">J196/N196</f>
        <v>0.398673692687969</v>
      </c>
      <c r="S196" s="4" t="s">
        <v>35</v>
      </c>
    </row>
    <row r="197" customFormat="false" ht="14.25" hidden="false" customHeight="true" outlineLevel="0" collapsed="false">
      <c r="A197" s="3" t="s">
        <v>141</v>
      </c>
      <c r="B197" s="4" t="s">
        <v>343</v>
      </c>
      <c r="C197" s="4" t="s">
        <v>348</v>
      </c>
      <c r="D197" s="4" t="s">
        <v>349</v>
      </c>
      <c r="E197" s="3" t="s">
        <v>23</v>
      </c>
      <c r="F197" s="3" t="n">
        <v>441</v>
      </c>
      <c r="G197" s="4" t="s">
        <v>46</v>
      </c>
      <c r="H197" s="5" t="n">
        <v>450000</v>
      </c>
      <c r="I197" s="3" t="s">
        <v>55</v>
      </c>
      <c r="J197" s="6" t="n">
        <v>325</v>
      </c>
      <c r="K197" s="6" t="n">
        <v>400</v>
      </c>
      <c r="L197" s="7" t="n">
        <f aca="false">K197*1.35582</f>
        <v>542.328</v>
      </c>
      <c r="M197" s="6" t="n">
        <v>6500</v>
      </c>
      <c r="N197" s="7" t="n">
        <f aca="false">M197*0.453592</f>
        <v>2948.348</v>
      </c>
      <c r="O197" s="3" t="s">
        <v>62</v>
      </c>
      <c r="P197" s="3" t="s">
        <v>27</v>
      </c>
      <c r="Q197" s="8" t="n">
        <f aca="false">J197/M197</f>
        <v>0.05</v>
      </c>
      <c r="R197" s="8" t="n">
        <f aca="false">J197/N197</f>
        <v>0.110231221009189</v>
      </c>
      <c r="S197" s="4" t="s">
        <v>35</v>
      </c>
    </row>
    <row r="198" customFormat="false" ht="14.25" hidden="false" customHeight="true" outlineLevel="0" collapsed="false">
      <c r="A198" s="3" t="s">
        <v>19</v>
      </c>
      <c r="B198" s="4" t="s">
        <v>343</v>
      </c>
      <c r="C198" s="4" t="s">
        <v>350</v>
      </c>
      <c r="D198" s="4" t="s">
        <v>93</v>
      </c>
      <c r="E198" s="3" t="s">
        <v>70</v>
      </c>
      <c r="F198" s="3" t="n">
        <v>644</v>
      </c>
      <c r="G198" s="4" t="s">
        <v>46</v>
      </c>
      <c r="H198" s="5" t="n">
        <v>75000</v>
      </c>
      <c r="I198" s="3" t="s">
        <v>55</v>
      </c>
      <c r="J198" s="6" t="n">
        <v>600</v>
      </c>
      <c r="K198" s="6" t="n">
        <v>558</v>
      </c>
      <c r="L198" s="7" t="n">
        <f aca="false">K198*1.35582</f>
        <v>756.54756</v>
      </c>
      <c r="M198" s="6" t="n">
        <v>4500</v>
      </c>
      <c r="N198" s="7" t="n">
        <f aca="false">M198*0.453592</f>
        <v>2041.164</v>
      </c>
      <c r="O198" s="3" t="s">
        <v>62</v>
      </c>
      <c r="P198" s="3" t="s">
        <v>27</v>
      </c>
      <c r="Q198" s="8" t="n">
        <f aca="false">J198/M198</f>
        <v>0.133333333333333</v>
      </c>
      <c r="R198" s="8" t="n">
        <f aca="false">J198/N198</f>
        <v>0.29394992269117</v>
      </c>
      <c r="S198" s="4" t="s">
        <v>99</v>
      </c>
    </row>
    <row r="199" customFormat="false" ht="14.25" hidden="false" customHeight="true" outlineLevel="0" collapsed="false">
      <c r="A199" s="3" t="s">
        <v>48</v>
      </c>
      <c r="B199" s="4" t="s">
        <v>343</v>
      </c>
      <c r="C199" s="4" t="s">
        <v>351</v>
      </c>
      <c r="D199" s="4" t="s">
        <v>136</v>
      </c>
      <c r="E199" s="3" t="s">
        <v>70</v>
      </c>
      <c r="F199" s="3" t="n">
        <v>639</v>
      </c>
      <c r="G199" s="4" t="s">
        <v>46</v>
      </c>
      <c r="H199" s="5" t="n">
        <v>415000</v>
      </c>
      <c r="I199" s="3" t="s">
        <v>25</v>
      </c>
      <c r="J199" s="6" t="n">
        <v>300</v>
      </c>
      <c r="K199" s="6" t="n">
        <v>332</v>
      </c>
      <c r="L199" s="7" t="n">
        <f aca="false">K199*1.35582</f>
        <v>450.13224</v>
      </c>
      <c r="M199" s="6" t="n">
        <v>2802</v>
      </c>
      <c r="N199" s="7" t="n">
        <f aca="false">M199*0.453592</f>
        <v>1270.964784</v>
      </c>
      <c r="O199" s="3" t="s">
        <v>62</v>
      </c>
      <c r="P199" s="3" t="s">
        <v>27</v>
      </c>
      <c r="Q199" s="8" t="n">
        <f aca="false">J199/M199</f>
        <v>0.107066381156317</v>
      </c>
      <c r="R199" s="8" t="n">
        <f aca="false">J199/N199</f>
        <v>0.236041158477921</v>
      </c>
      <c r="S199" s="4" t="s">
        <v>35</v>
      </c>
    </row>
    <row r="200" customFormat="false" ht="14.25" hidden="false" customHeight="true" outlineLevel="0" collapsed="false">
      <c r="A200" s="3" t="s">
        <v>352</v>
      </c>
      <c r="B200" s="4" t="s">
        <v>343</v>
      </c>
      <c r="C200" s="4" t="s">
        <v>353</v>
      </c>
      <c r="D200" s="4" t="s">
        <v>42</v>
      </c>
      <c r="E200" s="3" t="s">
        <v>39</v>
      </c>
      <c r="F200" s="3" t="n">
        <v>544</v>
      </c>
      <c r="G200" s="4" t="s">
        <v>46</v>
      </c>
      <c r="H200" s="5" t="n">
        <v>185000</v>
      </c>
      <c r="I200" s="3" t="s">
        <v>55</v>
      </c>
      <c r="J200" s="6" t="n">
        <v>255</v>
      </c>
      <c r="K200" s="6" t="n">
        <v>175</v>
      </c>
      <c r="L200" s="7" t="n">
        <f aca="false">K200*1.35582</f>
        <v>237.2685</v>
      </c>
      <c r="M200" s="6" t="n">
        <v>2161</v>
      </c>
      <c r="N200" s="7" t="n">
        <f aca="false">M200*0.453592</f>
        <v>980.212312</v>
      </c>
      <c r="O200" s="3" t="s">
        <v>26</v>
      </c>
      <c r="P200" s="3" t="s">
        <v>27</v>
      </c>
      <c r="Q200" s="8" t="n">
        <f aca="false">J200/M200</f>
        <v>0.118000925497455</v>
      </c>
      <c r="R200" s="8" t="n">
        <f aca="false">J200/N200</f>
        <v>0.260147721955976</v>
      </c>
      <c r="S200" s="4" t="s">
        <v>35</v>
      </c>
    </row>
    <row r="201" customFormat="false" ht="14.25" hidden="false" customHeight="true" outlineLevel="0" collapsed="false">
      <c r="A201" s="3" t="s">
        <v>51</v>
      </c>
      <c r="B201" s="4" t="s">
        <v>343</v>
      </c>
      <c r="C201" s="4" t="s">
        <v>354</v>
      </c>
      <c r="D201" s="4" t="s">
        <v>260</v>
      </c>
      <c r="E201" s="3" t="s">
        <v>23</v>
      </c>
      <c r="F201" s="3" t="n">
        <v>473</v>
      </c>
      <c r="G201" s="4" t="s">
        <v>46</v>
      </c>
      <c r="H201" s="5" t="n">
        <v>50000</v>
      </c>
      <c r="I201" s="3" t="s">
        <v>55</v>
      </c>
      <c r="J201" s="6" t="n">
        <v>418</v>
      </c>
      <c r="K201" s="6" t="n">
        <v>440</v>
      </c>
      <c r="L201" s="7" t="n">
        <f aca="false">K201*1.35582</f>
        <v>596.5608</v>
      </c>
      <c r="M201" s="6" t="n">
        <v>5733</v>
      </c>
      <c r="N201" s="7" t="n">
        <f aca="false">M201*0.453592</f>
        <v>2600.442936</v>
      </c>
      <c r="O201" s="3" t="s">
        <v>62</v>
      </c>
      <c r="P201" s="3" t="s">
        <v>27</v>
      </c>
      <c r="Q201" s="8" t="n">
        <f aca="false">J201/M201</f>
        <v>0.0729112157683586</v>
      </c>
      <c r="R201" s="8" t="n">
        <f aca="false">J201/N201</f>
        <v>0.160741846788212</v>
      </c>
      <c r="S201" s="4" t="s">
        <v>35</v>
      </c>
    </row>
    <row r="202" customFormat="false" ht="14.25" hidden="false" customHeight="true" outlineLevel="0" collapsed="false">
      <c r="A202" s="3" t="s">
        <v>175</v>
      </c>
      <c r="B202" s="4" t="s">
        <v>343</v>
      </c>
      <c r="C202" s="4" t="s">
        <v>355</v>
      </c>
      <c r="D202" s="4" t="s">
        <v>163</v>
      </c>
      <c r="E202" s="3" t="s">
        <v>32</v>
      </c>
      <c r="F202" s="3" t="n">
        <v>394</v>
      </c>
      <c r="G202" s="4" t="s">
        <v>46</v>
      </c>
      <c r="H202" s="5" t="n">
        <v>69000</v>
      </c>
      <c r="I202" s="3" t="s">
        <v>25</v>
      </c>
      <c r="J202" s="6" t="n">
        <v>148</v>
      </c>
      <c r="K202" s="6" t="n">
        <v>187</v>
      </c>
      <c r="L202" s="7" t="n">
        <f aca="false">K202*1.35582</f>
        <v>253.53834</v>
      </c>
      <c r="M202" s="6" t="n">
        <v>2315</v>
      </c>
      <c r="N202" s="7" t="n">
        <f aca="false">M202*0.453592</f>
        <v>1050.06548</v>
      </c>
      <c r="O202" s="3" t="s">
        <v>26</v>
      </c>
      <c r="P202" s="3" t="s">
        <v>27</v>
      </c>
      <c r="Q202" s="8" t="n">
        <f aca="false">J202/M202</f>
        <v>0.0639308855291577</v>
      </c>
      <c r="R202" s="8" t="n">
        <f aca="false">J202/N202</f>
        <v>0.140943591441555</v>
      </c>
      <c r="S202" s="4" t="s">
        <v>35</v>
      </c>
    </row>
    <row r="203" customFormat="false" ht="14.25" hidden="false" customHeight="true" outlineLevel="0" collapsed="false">
      <c r="A203" s="3" t="s">
        <v>159</v>
      </c>
      <c r="B203" s="4" t="s">
        <v>343</v>
      </c>
      <c r="C203" s="4" t="s">
        <v>356</v>
      </c>
      <c r="D203" s="4" t="s">
        <v>214</v>
      </c>
      <c r="E203" s="3" t="s">
        <v>32</v>
      </c>
      <c r="F203" s="3" t="n">
        <v>354</v>
      </c>
      <c r="G203" s="4" t="s">
        <v>46</v>
      </c>
      <c r="H203" s="5" t="n">
        <v>15000</v>
      </c>
      <c r="I203" s="3" t="s">
        <v>33</v>
      </c>
      <c r="J203" s="6" t="n">
        <v>250</v>
      </c>
      <c r="K203" s="6" t="n">
        <v>297</v>
      </c>
      <c r="L203" s="7" t="n">
        <f aca="false">K203*1.35582</f>
        <v>402.67854</v>
      </c>
      <c r="M203" s="6" t="n">
        <v>4057</v>
      </c>
      <c r="N203" s="7" t="n">
        <f aca="false">M203*0.453592</f>
        <v>1840.222744</v>
      </c>
      <c r="O203" s="3" t="s">
        <v>26</v>
      </c>
      <c r="P203" s="3" t="s">
        <v>27</v>
      </c>
      <c r="Q203" s="8" t="n">
        <f aca="false">J203/M203</f>
        <v>0.0616218880946512</v>
      </c>
      <c r="R203" s="8" t="n">
        <f aca="false">J203/N203</f>
        <v>0.1358531193113</v>
      </c>
      <c r="S203" s="4" t="s">
        <v>35</v>
      </c>
    </row>
    <row r="204" customFormat="false" ht="14.25" hidden="false" customHeight="true" outlineLevel="0" collapsed="false">
      <c r="A204" s="3" t="s">
        <v>357</v>
      </c>
      <c r="B204" s="4" t="s">
        <v>343</v>
      </c>
      <c r="C204" s="4" t="s">
        <v>358</v>
      </c>
      <c r="D204" s="4" t="s">
        <v>231</v>
      </c>
      <c r="E204" s="3" t="s">
        <v>32</v>
      </c>
      <c r="F204" s="3" t="n">
        <v>100</v>
      </c>
      <c r="G204" s="4" t="s">
        <v>46</v>
      </c>
      <c r="H204" s="5" t="n">
        <v>36000</v>
      </c>
      <c r="I204" s="3" t="s">
        <v>33</v>
      </c>
      <c r="J204" s="6" t="n">
        <v>65</v>
      </c>
      <c r="K204" s="6" t="n">
        <v>130</v>
      </c>
      <c r="L204" s="7" t="n">
        <f aca="false">K204*1.35582</f>
        <v>176.2566</v>
      </c>
      <c r="M204" s="6" t="n">
        <v>2398</v>
      </c>
      <c r="N204" s="7" t="n">
        <f aca="false">M204*0.453592</f>
        <v>1087.713616</v>
      </c>
      <c r="O204" s="3" t="s">
        <v>26</v>
      </c>
      <c r="P204" s="3" t="s">
        <v>27</v>
      </c>
      <c r="Q204" s="8" t="n">
        <f aca="false">J204/M204</f>
        <v>0.0271059216013344</v>
      </c>
      <c r="R204" s="8" t="n">
        <f aca="false">J204/N204</f>
        <v>0.0597583766938889</v>
      </c>
      <c r="S204" s="4" t="s">
        <v>35</v>
      </c>
    </row>
    <row r="205" customFormat="false" ht="14.25" hidden="false" customHeight="true" outlineLevel="0" collapsed="false">
      <c r="A205" s="3" t="s">
        <v>58</v>
      </c>
      <c r="B205" s="4" t="s">
        <v>343</v>
      </c>
      <c r="C205" s="4" t="s">
        <v>359</v>
      </c>
      <c r="D205" s="4" t="s">
        <v>158</v>
      </c>
      <c r="E205" s="3" t="s">
        <v>23</v>
      </c>
      <c r="F205" s="3" t="n">
        <v>456</v>
      </c>
      <c r="G205" s="4" t="s">
        <v>46</v>
      </c>
      <c r="H205" s="5" t="n">
        <v>65000</v>
      </c>
      <c r="I205" s="3" t="s">
        <v>25</v>
      </c>
      <c r="J205" s="6" t="n">
        <v>224</v>
      </c>
      <c r="K205" s="6" t="n">
        <v>224</v>
      </c>
      <c r="L205" s="7" t="n">
        <f aca="false">K205*1.35582</f>
        <v>303.70368</v>
      </c>
      <c r="M205" s="6" t="n">
        <v>2811</v>
      </c>
      <c r="N205" s="7" t="n">
        <f aca="false">M205*0.453592</f>
        <v>1275.047112</v>
      </c>
      <c r="O205" s="3" t="s">
        <v>62</v>
      </c>
      <c r="P205" s="3" t="s">
        <v>27</v>
      </c>
      <c r="Q205" s="8" t="n">
        <f aca="false">J205/M205</f>
        <v>0.07968694414799</v>
      </c>
      <c r="R205" s="8" t="n">
        <f aca="false">J205/N205</f>
        <v>0.17567978303848</v>
      </c>
      <c r="S205" s="4" t="s">
        <v>35</v>
      </c>
    </row>
    <row r="206" customFormat="false" ht="14.25" hidden="false" customHeight="true" outlineLevel="0" collapsed="false">
      <c r="A206" s="3" t="s">
        <v>51</v>
      </c>
      <c r="B206" s="4" t="s">
        <v>343</v>
      </c>
      <c r="C206" s="4" t="s">
        <v>360</v>
      </c>
      <c r="D206" s="4" t="s">
        <v>260</v>
      </c>
      <c r="E206" s="3" t="s">
        <v>23</v>
      </c>
      <c r="F206" s="3" t="n">
        <v>500</v>
      </c>
      <c r="G206" s="4" t="s">
        <v>46</v>
      </c>
      <c r="H206" s="5" t="n">
        <v>250000</v>
      </c>
      <c r="I206" s="3" t="s">
        <v>55</v>
      </c>
      <c r="J206" s="6" t="n">
        <v>563</v>
      </c>
      <c r="K206" s="6" t="n">
        <v>775</v>
      </c>
      <c r="L206" s="7" t="n">
        <f aca="false">K206*1.35582</f>
        <v>1050.7605</v>
      </c>
      <c r="M206" s="6" t="n">
        <v>7070</v>
      </c>
      <c r="N206" s="7" t="n">
        <f aca="false">M206*0.453592</f>
        <v>3206.89544</v>
      </c>
      <c r="O206" s="3"/>
      <c r="P206" s="3"/>
      <c r="Q206" s="8" t="n">
        <f aca="false">J206/M206</f>
        <v>0.0796322489391796</v>
      </c>
      <c r="R206" s="8" t="n">
        <f aca="false">J206/N206</f>
        <v>0.175559200645469</v>
      </c>
      <c r="S206" s="4" t="s">
        <v>105</v>
      </c>
    </row>
    <row r="207" customFormat="false" ht="14.25" hidden="false" customHeight="true" outlineLevel="0" collapsed="false">
      <c r="A207" s="3" t="s">
        <v>43</v>
      </c>
      <c r="B207" s="4" t="s">
        <v>343</v>
      </c>
      <c r="C207" s="4" t="s">
        <v>361</v>
      </c>
      <c r="D207" s="4" t="s">
        <v>260</v>
      </c>
      <c r="E207" s="3" t="s">
        <v>39</v>
      </c>
      <c r="F207" s="3" t="n">
        <v>536</v>
      </c>
      <c r="G207" s="4" t="s">
        <v>46</v>
      </c>
      <c r="H207" s="5" t="n">
        <v>110000</v>
      </c>
      <c r="I207" s="3" t="s">
        <v>55</v>
      </c>
      <c r="J207" s="6" t="n">
        <v>700</v>
      </c>
      <c r="K207" s="6" t="n">
        <v>640</v>
      </c>
      <c r="L207" s="7" t="n">
        <f aca="false">K207*1.35582</f>
        <v>867.7248</v>
      </c>
      <c r="M207" s="6" t="n">
        <v>6077</v>
      </c>
      <c r="N207" s="7" t="n">
        <f aca="false">M207*0.453592</f>
        <v>2756.478584</v>
      </c>
      <c r="O207" s="3" t="s">
        <v>62</v>
      </c>
      <c r="P207" s="3" t="s">
        <v>27</v>
      </c>
      <c r="Q207" s="8" t="n">
        <f aca="false">J207/M207</f>
        <v>0.115188415336515</v>
      </c>
      <c r="R207" s="8" t="n">
        <f aca="false">J207/N207</f>
        <v>0.253947193373152</v>
      </c>
      <c r="S207" s="4" t="s">
        <v>35</v>
      </c>
    </row>
    <row r="208" customFormat="false" ht="14.25" hidden="false" customHeight="true" outlineLevel="0" collapsed="false">
      <c r="A208" s="3" t="s">
        <v>43</v>
      </c>
      <c r="B208" s="4" t="s">
        <v>343</v>
      </c>
      <c r="C208" s="4" t="s">
        <v>362</v>
      </c>
      <c r="D208" s="4" t="s">
        <v>260</v>
      </c>
      <c r="E208" s="3" t="s">
        <v>39</v>
      </c>
      <c r="F208" s="3" t="n">
        <v>600</v>
      </c>
      <c r="G208" s="4" t="s">
        <v>46</v>
      </c>
      <c r="H208" s="5" t="n">
        <v>50000</v>
      </c>
      <c r="I208" s="3" t="s">
        <v>66</v>
      </c>
      <c r="J208" s="6" t="n">
        <v>700</v>
      </c>
      <c r="K208" s="6" t="n">
        <v>640</v>
      </c>
      <c r="L208" s="7" t="n">
        <f aca="false">K208*1.35582</f>
        <v>867.7248</v>
      </c>
      <c r="M208" s="6" t="n">
        <v>6077</v>
      </c>
      <c r="N208" s="7" t="n">
        <f aca="false">M208*0.453592</f>
        <v>2756.478584</v>
      </c>
      <c r="O208" s="3" t="s">
        <v>62</v>
      </c>
      <c r="P208" s="3" t="s">
        <v>27</v>
      </c>
      <c r="Q208" s="8" t="n">
        <f aca="false">J208/M208</f>
        <v>0.115188415336515</v>
      </c>
      <c r="R208" s="8" t="n">
        <f aca="false">J208/N208</f>
        <v>0.253947193373152</v>
      </c>
      <c r="S208" s="4" t="s">
        <v>75</v>
      </c>
    </row>
    <row r="209" customFormat="false" ht="14.25" hidden="false" customHeight="true" outlineLevel="0" collapsed="false">
      <c r="A209" s="3" t="s">
        <v>118</v>
      </c>
      <c r="B209" s="4" t="s">
        <v>343</v>
      </c>
      <c r="C209" s="4" t="s">
        <v>363</v>
      </c>
      <c r="D209" s="4" t="s">
        <v>260</v>
      </c>
      <c r="E209" s="3" t="s">
        <v>23</v>
      </c>
      <c r="F209" s="3" t="n">
        <v>474</v>
      </c>
      <c r="G209" s="4" t="s">
        <v>46</v>
      </c>
      <c r="H209" s="5" t="n">
        <v>250000</v>
      </c>
      <c r="I209" s="3" t="s">
        <v>33</v>
      </c>
      <c r="J209" s="6" t="n">
        <v>380</v>
      </c>
      <c r="K209" s="6" t="n">
        <v>450</v>
      </c>
      <c r="L209" s="7" t="n">
        <f aca="false">K209*1.35582</f>
        <v>610.119</v>
      </c>
      <c r="M209" s="6" t="n">
        <v>4670</v>
      </c>
      <c r="N209" s="7" t="n">
        <f aca="false">M209*0.453592</f>
        <v>2118.27464</v>
      </c>
      <c r="O209" s="3"/>
      <c r="P209" s="3"/>
      <c r="Q209" s="8" t="n">
        <f aca="false">J209/M209</f>
        <v>0.0813704496788009</v>
      </c>
      <c r="R209" s="8" t="n">
        <f aca="false">J209/N209</f>
        <v>0.17939128044322</v>
      </c>
      <c r="S209" s="4" t="s">
        <v>28</v>
      </c>
    </row>
    <row r="210" customFormat="false" ht="14.25" hidden="false" customHeight="true" outlineLevel="0" collapsed="false">
      <c r="A210" s="3" t="s">
        <v>133</v>
      </c>
      <c r="B210" s="4" t="s">
        <v>343</v>
      </c>
      <c r="C210" s="4" t="s">
        <v>364</v>
      </c>
      <c r="D210" s="4" t="s">
        <v>260</v>
      </c>
      <c r="E210" s="3" t="s">
        <v>32</v>
      </c>
      <c r="F210" s="3" t="n">
        <v>263</v>
      </c>
      <c r="G210" s="4" t="s">
        <v>46</v>
      </c>
      <c r="H210" s="5" t="n">
        <v>45000</v>
      </c>
      <c r="I210" s="3" t="s">
        <v>33</v>
      </c>
      <c r="J210" s="6" t="n">
        <v>185</v>
      </c>
      <c r="K210" s="6" t="n">
        <v>270</v>
      </c>
      <c r="L210" s="7" t="n">
        <f aca="false">K210*1.35582</f>
        <v>366.0714</v>
      </c>
      <c r="M210" s="6" t="n">
        <v>3805</v>
      </c>
      <c r="N210" s="7" t="n">
        <f aca="false">M210*0.453592</f>
        <v>1725.91756</v>
      </c>
      <c r="O210" s="3" t="s">
        <v>26</v>
      </c>
      <c r="P210" s="3" t="s">
        <v>27</v>
      </c>
      <c r="Q210" s="8" t="n">
        <f aca="false">J210/M210</f>
        <v>0.0486202365308804</v>
      </c>
      <c r="R210" s="8" t="n">
        <f aca="false">J210/N210</f>
        <v>0.10718936077109</v>
      </c>
      <c r="S210" s="4" t="s">
        <v>35</v>
      </c>
    </row>
    <row r="211" customFormat="false" ht="14.25" hidden="false" customHeight="true" outlineLevel="0" collapsed="false">
      <c r="A211" s="3" t="s">
        <v>133</v>
      </c>
      <c r="B211" s="4" t="s">
        <v>343</v>
      </c>
      <c r="C211" s="4" t="s">
        <v>364</v>
      </c>
      <c r="D211" s="4" t="s">
        <v>273</v>
      </c>
      <c r="E211" s="3" t="s">
        <v>109</v>
      </c>
      <c r="F211" s="3" t="n">
        <v>850</v>
      </c>
      <c r="G211" s="4" t="s">
        <v>46</v>
      </c>
      <c r="H211" s="5" t="n">
        <v>500000</v>
      </c>
      <c r="I211" s="3" t="s">
        <v>296</v>
      </c>
      <c r="J211" s="6" t="n">
        <v>185</v>
      </c>
      <c r="K211" s="6" t="n">
        <v>270</v>
      </c>
      <c r="L211" s="7" t="n">
        <f aca="false">K211*1.35582</f>
        <v>366.0714</v>
      </c>
      <c r="M211" s="6" t="n">
        <v>3805</v>
      </c>
      <c r="N211" s="7" t="n">
        <f aca="false">M211*0.453592</f>
        <v>1725.91756</v>
      </c>
      <c r="O211" s="3"/>
      <c r="P211" s="3"/>
      <c r="Q211" s="8" t="n">
        <f aca="false">J211/M211</f>
        <v>0.0486202365308804</v>
      </c>
      <c r="R211" s="8" t="n">
        <f aca="false">J211/N211</f>
        <v>0.10718936077109</v>
      </c>
      <c r="S211" s="4" t="s">
        <v>105</v>
      </c>
    </row>
    <row r="212" customFormat="false" ht="14.25" hidden="false" customHeight="true" outlineLevel="0" collapsed="false">
      <c r="A212" s="3" t="s">
        <v>43</v>
      </c>
      <c r="B212" s="4" t="s">
        <v>343</v>
      </c>
      <c r="C212" s="4" t="s">
        <v>365</v>
      </c>
      <c r="D212" s="4" t="s">
        <v>38</v>
      </c>
      <c r="E212" s="3" t="s">
        <v>23</v>
      </c>
      <c r="F212" s="3" t="n">
        <v>500</v>
      </c>
      <c r="G212" s="4" t="s">
        <v>46</v>
      </c>
      <c r="H212" s="5" t="n">
        <v>26000</v>
      </c>
      <c r="I212" s="3" t="s">
        <v>33</v>
      </c>
      <c r="J212" s="6" t="n">
        <v>197</v>
      </c>
      <c r="K212" s="6" t="n">
        <v>236</v>
      </c>
      <c r="L212" s="7" t="n">
        <f aca="false">K212*1.35582</f>
        <v>319.97352</v>
      </c>
      <c r="M212" s="6" t="n">
        <v>2657</v>
      </c>
      <c r="N212" s="7" t="n">
        <f aca="false">M212*0.453592</f>
        <v>1205.193944</v>
      </c>
      <c r="O212" s="3" t="s">
        <v>47</v>
      </c>
      <c r="P212" s="3" t="s">
        <v>27</v>
      </c>
      <c r="Q212" s="8" t="n">
        <f aca="false">J212/M212</f>
        <v>0.074143771170493</v>
      </c>
      <c r="R212" s="8" t="n">
        <f aca="false">J212/N212</f>
        <v>0.163459168526987</v>
      </c>
      <c r="S212" s="4" t="s">
        <v>35</v>
      </c>
    </row>
    <row r="213" customFormat="false" ht="14.25" hidden="false" customHeight="true" outlineLevel="0" collapsed="false">
      <c r="A213" s="3" t="s">
        <v>118</v>
      </c>
      <c r="B213" s="4" t="s">
        <v>343</v>
      </c>
      <c r="C213" s="4" t="s">
        <v>366</v>
      </c>
      <c r="D213" s="4" t="s">
        <v>50</v>
      </c>
      <c r="E213" s="3" t="s">
        <v>23</v>
      </c>
      <c r="F213" s="3" t="n">
        <v>484</v>
      </c>
      <c r="G213" s="4" t="s">
        <v>46</v>
      </c>
      <c r="H213" s="5" t="n">
        <v>35000</v>
      </c>
      <c r="I213" s="3" t="s">
        <v>33</v>
      </c>
      <c r="J213" s="6" t="n">
        <v>212</v>
      </c>
      <c r="K213" s="6" t="n">
        <v>228</v>
      </c>
      <c r="L213" s="7" t="n">
        <f aca="false">K213*1.35582</f>
        <v>309.12696</v>
      </c>
      <c r="M213" s="6" t="n">
        <v>2822</v>
      </c>
      <c r="N213" s="7" t="n">
        <f aca="false">M213*0.453592</f>
        <v>1280.036624</v>
      </c>
      <c r="O213" s="3" t="s">
        <v>47</v>
      </c>
      <c r="P213" s="3" t="s">
        <v>27</v>
      </c>
      <c r="Q213" s="8" t="n">
        <f aca="false">J213/M213</f>
        <v>0.07512402551382</v>
      </c>
      <c r="R213" s="8" t="n">
        <f aca="false">J213/N213</f>
        <v>0.165620261190277</v>
      </c>
      <c r="S213" s="4" t="s">
        <v>35</v>
      </c>
    </row>
    <row r="214" customFormat="false" ht="14.25" hidden="false" customHeight="true" outlineLevel="0" collapsed="false">
      <c r="A214" s="3" t="s">
        <v>139</v>
      </c>
      <c r="B214" s="4" t="s">
        <v>343</v>
      </c>
      <c r="C214" s="4" t="s">
        <v>366</v>
      </c>
      <c r="D214" s="4" t="s">
        <v>147</v>
      </c>
      <c r="E214" s="3" t="s">
        <v>39</v>
      </c>
      <c r="F214" s="3" t="n">
        <v>551</v>
      </c>
      <c r="G214" s="4" t="s">
        <v>46</v>
      </c>
      <c r="H214" s="5" t="n">
        <v>52000</v>
      </c>
      <c r="I214" s="3" t="s">
        <v>55</v>
      </c>
      <c r="J214" s="6" t="n">
        <v>300</v>
      </c>
      <c r="K214" s="6" t="n">
        <v>319</v>
      </c>
      <c r="L214" s="7" t="n">
        <f aca="false">K214*1.35582</f>
        <v>432.50658</v>
      </c>
      <c r="M214" s="6" t="n">
        <v>3236</v>
      </c>
      <c r="N214" s="7" t="n">
        <f aca="false">M214*0.453592</f>
        <v>1467.823712</v>
      </c>
      <c r="O214" s="3" t="s">
        <v>47</v>
      </c>
      <c r="P214" s="3" t="s">
        <v>27</v>
      </c>
      <c r="Q214" s="8" t="n">
        <f aca="false">J214/M214</f>
        <v>0.0927070457354759</v>
      </c>
      <c r="R214" s="8" t="n">
        <f aca="false">J214/N214</f>
        <v>0.204384216951525</v>
      </c>
      <c r="S214" s="4" t="s">
        <v>63</v>
      </c>
    </row>
    <row r="215" customFormat="false" ht="14.25" hidden="false" customHeight="true" outlineLevel="0" collapsed="false">
      <c r="A215" s="3" t="s">
        <v>19</v>
      </c>
      <c r="B215" s="4" t="s">
        <v>343</v>
      </c>
      <c r="C215" s="4" t="s">
        <v>366</v>
      </c>
      <c r="D215" s="4" t="s">
        <v>147</v>
      </c>
      <c r="E215" s="3" t="s">
        <v>39</v>
      </c>
      <c r="F215" s="3" t="n">
        <v>588</v>
      </c>
      <c r="G215" s="4" t="s">
        <v>46</v>
      </c>
      <c r="H215" s="5" t="n">
        <v>37000</v>
      </c>
      <c r="I215" s="3" t="s">
        <v>55</v>
      </c>
      <c r="J215" s="6" t="n">
        <v>350</v>
      </c>
      <c r="K215" s="6" t="n">
        <v>350</v>
      </c>
      <c r="L215" s="7" t="n">
        <f aca="false">K215*1.35582</f>
        <v>474.537</v>
      </c>
      <c r="M215" s="6" t="n">
        <v>3446</v>
      </c>
      <c r="N215" s="7" t="n">
        <f aca="false">M215*0.453592</f>
        <v>1563.078032</v>
      </c>
      <c r="O215" s="3" t="s">
        <v>62</v>
      </c>
      <c r="P215" s="3" t="s">
        <v>27</v>
      </c>
      <c r="Q215" s="8" t="n">
        <f aca="false">J215/M215</f>
        <v>0.1015670342426</v>
      </c>
      <c r="R215" s="8" t="n">
        <f aca="false">J215/N215</f>
        <v>0.223917163976878</v>
      </c>
      <c r="S215" s="4" t="s">
        <v>99</v>
      </c>
    </row>
    <row r="216" customFormat="false" ht="14.25" hidden="false" customHeight="true" outlineLevel="0" collapsed="false">
      <c r="A216" s="3" t="s">
        <v>51</v>
      </c>
      <c r="B216" s="4" t="s">
        <v>343</v>
      </c>
      <c r="C216" s="4" t="s">
        <v>367</v>
      </c>
      <c r="D216" s="4" t="s">
        <v>38</v>
      </c>
      <c r="E216" s="3" t="s">
        <v>39</v>
      </c>
      <c r="F216" s="3" t="n">
        <v>594</v>
      </c>
      <c r="G216" s="4" t="s">
        <v>46</v>
      </c>
      <c r="H216" s="5" t="n">
        <v>34000</v>
      </c>
      <c r="I216" s="3" t="s">
        <v>33</v>
      </c>
      <c r="J216" s="6" t="n">
        <v>276</v>
      </c>
      <c r="K216" s="6" t="n">
        <v>310</v>
      </c>
      <c r="L216" s="7" t="n">
        <f aca="false">K216*1.35582</f>
        <v>420.3042</v>
      </c>
      <c r="M216" s="6" t="n">
        <v>3168</v>
      </c>
      <c r="N216" s="7" t="n">
        <f aca="false">M216*0.453592</f>
        <v>1436.979456</v>
      </c>
      <c r="O216" s="3" t="s">
        <v>47</v>
      </c>
      <c r="P216" s="3" t="s">
        <v>27</v>
      </c>
      <c r="Q216" s="8" t="n">
        <f aca="false">J216/M216</f>
        <v>0.0871212121212121</v>
      </c>
      <c r="R216" s="8" t="n">
        <f aca="false">J216/N216</f>
        <v>0.192069551758435</v>
      </c>
      <c r="S216" s="4" t="s">
        <v>35</v>
      </c>
    </row>
    <row r="217" customFormat="false" ht="14.25" hidden="false" customHeight="true" outlineLevel="0" collapsed="false">
      <c r="A217" s="3" t="s">
        <v>68</v>
      </c>
      <c r="B217" s="4" t="s">
        <v>343</v>
      </c>
      <c r="C217" s="4" t="s">
        <v>368</v>
      </c>
      <c r="D217" s="4" t="s">
        <v>254</v>
      </c>
      <c r="E217" s="3" t="s">
        <v>39</v>
      </c>
      <c r="F217" s="3" t="n">
        <v>563</v>
      </c>
      <c r="G217" s="4" t="s">
        <v>46</v>
      </c>
      <c r="H217" s="5" t="n">
        <v>40000</v>
      </c>
      <c r="I217" s="3" t="s">
        <v>33</v>
      </c>
      <c r="J217" s="6" t="n">
        <v>422</v>
      </c>
      <c r="K217" s="6" t="n">
        <v>402</v>
      </c>
      <c r="L217" s="7" t="n">
        <f aca="false">K217*1.35582</f>
        <v>545.03964</v>
      </c>
      <c r="M217" s="6" t="n">
        <v>3946</v>
      </c>
      <c r="N217" s="7" t="n">
        <f aca="false">M217*0.453592</f>
        <v>1789.874032</v>
      </c>
      <c r="O217" s="3" t="s">
        <v>26</v>
      </c>
      <c r="P217" s="3" t="s">
        <v>27</v>
      </c>
      <c r="Q217" s="8" t="n">
        <f aca="false">J217/M217</f>
        <v>0.106943740496706</v>
      </c>
      <c r="R217" s="8" t="n">
        <f aca="false">J217/N217</f>
        <v>0.235770781884834</v>
      </c>
      <c r="S217" s="4" t="s">
        <v>35</v>
      </c>
    </row>
    <row r="218" customFormat="false" ht="14.25" hidden="false" customHeight="true" outlineLevel="0" collapsed="false">
      <c r="A218" s="3" t="s">
        <v>195</v>
      </c>
      <c r="B218" s="4" t="s">
        <v>343</v>
      </c>
      <c r="C218" s="4" t="s">
        <v>369</v>
      </c>
      <c r="D218" s="4" t="s">
        <v>186</v>
      </c>
      <c r="E218" s="3" t="s">
        <v>70</v>
      </c>
      <c r="F218" s="3" t="n">
        <v>676</v>
      </c>
      <c r="G218" s="4" t="s">
        <v>46</v>
      </c>
      <c r="H218" s="5" t="n">
        <v>585000</v>
      </c>
      <c r="I218" s="3" t="s">
        <v>187</v>
      </c>
      <c r="J218" s="6" t="n">
        <v>550</v>
      </c>
      <c r="K218" s="6" t="n">
        <v>500</v>
      </c>
      <c r="L218" s="7" t="n">
        <f aca="false">K218*1.35582</f>
        <v>677.91</v>
      </c>
      <c r="M218" s="6" t="n">
        <v>3390</v>
      </c>
      <c r="N218" s="7" t="n">
        <f aca="false">M218*0.453592</f>
        <v>1537.67688</v>
      </c>
      <c r="O218" s="3"/>
      <c r="P218" s="3"/>
      <c r="Q218" s="8" t="n">
        <f aca="false">J218/M218</f>
        <v>0.162241887905605</v>
      </c>
      <c r="R218" s="8" t="n">
        <f aca="false">J218/N218</f>
        <v>0.357682428053415</v>
      </c>
      <c r="S218" s="4" t="s">
        <v>188</v>
      </c>
    </row>
    <row r="219" customFormat="false" ht="14.25" hidden="false" customHeight="true" outlineLevel="0" collapsed="false">
      <c r="A219" s="3" t="s">
        <v>19</v>
      </c>
      <c r="B219" s="4" t="s">
        <v>343</v>
      </c>
      <c r="C219" s="4" t="s">
        <v>369</v>
      </c>
      <c r="D219" s="4" t="s">
        <v>53</v>
      </c>
      <c r="E219" s="3" t="s">
        <v>54</v>
      </c>
      <c r="F219" s="3" t="n">
        <v>757</v>
      </c>
      <c r="G219" s="4" t="s">
        <v>46</v>
      </c>
      <c r="H219" s="5" t="n">
        <v>500000</v>
      </c>
      <c r="I219" s="3" t="s">
        <v>55</v>
      </c>
      <c r="J219" s="6" t="n">
        <v>630</v>
      </c>
      <c r="K219" s="6" t="n">
        <v>539</v>
      </c>
      <c r="L219" s="7" t="n">
        <f aca="false">K219*1.35582</f>
        <v>730.78698</v>
      </c>
      <c r="M219" s="6" t="n">
        <v>3353</v>
      </c>
      <c r="N219" s="7" t="n">
        <f aca="false">M219*0.453592</f>
        <v>1520.893976</v>
      </c>
      <c r="O219" s="3" t="s">
        <v>26</v>
      </c>
      <c r="P219" s="3" t="s">
        <v>67</v>
      </c>
      <c r="Q219" s="8" t="n">
        <f aca="false">J219/M219</f>
        <v>0.187891440501044</v>
      </c>
      <c r="R219" s="8" t="n">
        <f aca="false">J219/N219</f>
        <v>0.414230058072109</v>
      </c>
      <c r="S219" s="4" t="s">
        <v>35</v>
      </c>
    </row>
    <row r="220" customFormat="false" ht="14.25" hidden="false" customHeight="true" outlineLevel="0" collapsed="false">
      <c r="A220" s="3" t="s">
        <v>19</v>
      </c>
      <c r="B220" s="4" t="s">
        <v>343</v>
      </c>
      <c r="C220" s="4" t="s">
        <v>370</v>
      </c>
      <c r="D220" s="4" t="s">
        <v>136</v>
      </c>
      <c r="E220" s="3" t="s">
        <v>54</v>
      </c>
      <c r="F220" s="3" t="n">
        <v>707</v>
      </c>
      <c r="G220" s="4" t="s">
        <v>46</v>
      </c>
      <c r="H220" s="5"/>
      <c r="I220" s="3"/>
      <c r="J220" s="6" t="n">
        <v>375</v>
      </c>
      <c r="K220" s="6" t="n">
        <v>332</v>
      </c>
      <c r="L220" s="7" t="n">
        <f aca="false">K220*1.35582</f>
        <v>450.13224</v>
      </c>
      <c r="M220" s="6" t="n">
        <v>2800</v>
      </c>
      <c r="N220" s="7" t="n">
        <f aca="false">M220*0.453592</f>
        <v>1270.0576</v>
      </c>
      <c r="O220" s="3"/>
      <c r="P220" s="3"/>
      <c r="Q220" s="8" t="n">
        <f aca="false">J220/M220</f>
        <v>0.133928571428571</v>
      </c>
      <c r="R220" s="8" t="n">
        <f aca="false">J220/N220</f>
        <v>0.295262199131756</v>
      </c>
      <c r="S220" s="4" t="s">
        <v>105</v>
      </c>
    </row>
    <row r="221" customFormat="false" ht="14.25" hidden="false" customHeight="true" outlineLevel="0" collapsed="false">
      <c r="A221" s="3" t="s">
        <v>233</v>
      </c>
      <c r="B221" s="4" t="s">
        <v>343</v>
      </c>
      <c r="C221" s="4" t="s">
        <v>371</v>
      </c>
      <c r="D221" s="4" t="s">
        <v>235</v>
      </c>
      <c r="E221" s="3" t="s">
        <v>23</v>
      </c>
      <c r="F221" s="3" t="n">
        <v>468</v>
      </c>
      <c r="G221" s="4" t="s">
        <v>46</v>
      </c>
      <c r="H221" s="5" t="n">
        <v>75000</v>
      </c>
      <c r="I221" s="3" t="s">
        <v>25</v>
      </c>
      <c r="J221" s="6" t="n">
        <v>290</v>
      </c>
      <c r="K221" s="6" t="n">
        <v>290</v>
      </c>
      <c r="L221" s="7" t="n">
        <f aca="false">K221*1.35582</f>
        <v>393.1878</v>
      </c>
      <c r="M221" s="6" t="n">
        <v>3250</v>
      </c>
      <c r="N221" s="7" t="n">
        <f aca="false">M221*0.453592</f>
        <v>1474.174</v>
      </c>
      <c r="O221" s="3" t="s">
        <v>26</v>
      </c>
      <c r="P221" s="3" t="s">
        <v>27</v>
      </c>
      <c r="Q221" s="8" t="n">
        <f aca="false">J221/M221</f>
        <v>0.0892307692307692</v>
      </c>
      <c r="R221" s="8" t="n">
        <f aca="false">J221/N221</f>
        <v>0.196720332877937</v>
      </c>
      <c r="S221" s="4" t="s">
        <v>35</v>
      </c>
    </row>
    <row r="222" customFormat="false" ht="14.25" hidden="false" customHeight="true" outlineLevel="0" collapsed="false">
      <c r="A222" s="3" t="s">
        <v>207</v>
      </c>
      <c r="B222" s="4" t="s">
        <v>343</v>
      </c>
      <c r="C222" s="4" t="s">
        <v>372</v>
      </c>
      <c r="D222" s="4" t="s">
        <v>217</v>
      </c>
      <c r="E222" s="3" t="s">
        <v>70</v>
      </c>
      <c r="F222" s="3" t="n">
        <v>669</v>
      </c>
      <c r="G222" s="4" t="s">
        <v>46</v>
      </c>
      <c r="H222" s="5" t="n">
        <v>59000</v>
      </c>
      <c r="I222" s="3" t="s">
        <v>55</v>
      </c>
      <c r="J222" s="6" t="n">
        <v>500</v>
      </c>
      <c r="K222" s="6" t="n">
        <v>418</v>
      </c>
      <c r="L222" s="7" t="n">
        <f aca="false">K222*1.35582</f>
        <v>566.73276</v>
      </c>
      <c r="M222" s="6" t="n">
        <v>3949</v>
      </c>
      <c r="N222" s="7" t="n">
        <f aca="false">M222*0.453592</f>
        <v>1791.234808</v>
      </c>
      <c r="O222" s="3" t="s">
        <v>26</v>
      </c>
      <c r="P222" s="3" t="s">
        <v>27</v>
      </c>
      <c r="Q222" s="8" t="n">
        <f aca="false">J222/M222</f>
        <v>0.126614332742466</v>
      </c>
      <c r="R222" s="8" t="n">
        <f aca="false">J222/N222</f>
        <v>0.279137049909316</v>
      </c>
      <c r="S222" s="4" t="s">
        <v>99</v>
      </c>
    </row>
    <row r="223" customFormat="false" ht="14.25" hidden="false" customHeight="true" outlineLevel="0" collapsed="false">
      <c r="A223" s="3" t="s">
        <v>207</v>
      </c>
      <c r="B223" s="4" t="s">
        <v>343</v>
      </c>
      <c r="C223" s="4" t="s">
        <v>373</v>
      </c>
      <c r="D223" s="4" t="s">
        <v>217</v>
      </c>
      <c r="E223" s="3" t="s">
        <v>70</v>
      </c>
      <c r="F223" s="3" t="n">
        <v>628</v>
      </c>
      <c r="G223" s="4" t="s">
        <v>46</v>
      </c>
      <c r="H223" s="5" t="n">
        <v>45000</v>
      </c>
      <c r="I223" s="3" t="s">
        <v>55</v>
      </c>
      <c r="J223" s="6" t="n">
        <v>486</v>
      </c>
      <c r="K223" s="6" t="n">
        <v>418</v>
      </c>
      <c r="L223" s="7" t="n">
        <f aca="false">K223*1.35582</f>
        <v>566.73276</v>
      </c>
      <c r="M223" s="6" t="n">
        <v>3827</v>
      </c>
      <c r="N223" s="7" t="n">
        <f aca="false">M223*0.453592</f>
        <v>1735.896584</v>
      </c>
      <c r="O223" s="3" t="s">
        <v>26</v>
      </c>
      <c r="P223" s="3" t="s">
        <v>27</v>
      </c>
      <c r="Q223" s="8" t="n">
        <f aca="false">J223/M223</f>
        <v>0.126992422262869</v>
      </c>
      <c r="R223" s="8" t="n">
        <f aca="false">J223/N223</f>
        <v>0.279970595299011</v>
      </c>
      <c r="S223" s="4" t="s">
        <v>35</v>
      </c>
    </row>
    <row r="224" customFormat="false" ht="14.25" hidden="false" customHeight="true" outlineLevel="0" collapsed="false">
      <c r="A224" s="3" t="s">
        <v>29</v>
      </c>
      <c r="B224" s="4" t="s">
        <v>343</v>
      </c>
      <c r="C224" s="4" t="s">
        <v>374</v>
      </c>
      <c r="D224" s="4" t="s">
        <v>235</v>
      </c>
      <c r="E224" s="3" t="s">
        <v>32</v>
      </c>
      <c r="F224" s="3" t="n">
        <v>394</v>
      </c>
      <c r="G224" s="4" t="s">
        <v>46</v>
      </c>
      <c r="H224" s="5" t="n">
        <v>119000</v>
      </c>
      <c r="I224" s="3" t="s">
        <v>66</v>
      </c>
      <c r="J224" s="6" t="n">
        <v>325</v>
      </c>
      <c r="K224" s="6" t="n">
        <v>427</v>
      </c>
      <c r="L224" s="7" t="n">
        <f aca="false">K224*1.35582</f>
        <v>578.93514</v>
      </c>
      <c r="M224" s="6" t="n">
        <v>3548</v>
      </c>
      <c r="N224" s="7" t="n">
        <f aca="false">M224*0.453592</f>
        <v>1609.344416</v>
      </c>
      <c r="O224" s="3" t="s">
        <v>26</v>
      </c>
      <c r="P224" s="3" t="s">
        <v>27</v>
      </c>
      <c r="Q224" s="8" t="n">
        <f aca="false">J224/M224</f>
        <v>0.0916009019165727</v>
      </c>
      <c r="R224" s="8" t="n">
        <f aca="false">J224/N224</f>
        <v>0.201945585276135</v>
      </c>
      <c r="S224" s="4" t="s">
        <v>35</v>
      </c>
    </row>
    <row r="225" customFormat="false" ht="14.25" hidden="false" customHeight="true" outlineLevel="0" collapsed="false">
      <c r="A225" s="3" t="s">
        <v>29</v>
      </c>
      <c r="B225" s="4" t="s">
        <v>343</v>
      </c>
      <c r="C225" s="4" t="s">
        <v>375</v>
      </c>
      <c r="D225" s="4" t="s">
        <v>273</v>
      </c>
      <c r="E225" s="3" t="s">
        <v>70</v>
      </c>
      <c r="F225" s="3" t="n">
        <v>700</v>
      </c>
      <c r="G225" s="4" t="s">
        <v>46</v>
      </c>
      <c r="H225" s="5"/>
      <c r="I225" s="3"/>
      <c r="J225" s="6" t="n">
        <v>514</v>
      </c>
      <c r="K225" s="6" t="n">
        <v>424</v>
      </c>
      <c r="L225" s="7" t="n">
        <f aca="false">K225*1.35582</f>
        <v>574.86768</v>
      </c>
      <c r="M225" s="6" t="n">
        <v>3152</v>
      </c>
      <c r="N225" s="7" t="n">
        <f aca="false">M225*0.453592</f>
        <v>1429.721984</v>
      </c>
      <c r="O225" s="3"/>
      <c r="P225" s="3"/>
      <c r="Q225" s="8" t="n">
        <f aca="false">J225/M225</f>
        <v>0.163071065989848</v>
      </c>
      <c r="R225" s="8" t="n">
        <f aca="false">J225/N225</f>
        <v>0.359510454306619</v>
      </c>
      <c r="S225" s="4" t="s">
        <v>105</v>
      </c>
    </row>
    <row r="226" customFormat="false" ht="14.25" hidden="false" customHeight="true" outlineLevel="0" collapsed="false">
      <c r="A226" s="3" t="s">
        <v>80</v>
      </c>
      <c r="B226" s="4" t="s">
        <v>343</v>
      </c>
      <c r="C226" s="4" t="s">
        <v>376</v>
      </c>
      <c r="D226" s="4" t="s">
        <v>235</v>
      </c>
      <c r="E226" s="3" t="s">
        <v>32</v>
      </c>
      <c r="F226" s="3" t="n">
        <v>388</v>
      </c>
      <c r="G226" s="4" t="s">
        <v>46</v>
      </c>
      <c r="H226" s="5" t="n">
        <v>52000</v>
      </c>
      <c r="I226" s="3" t="s">
        <v>55</v>
      </c>
      <c r="J226" s="6" t="n">
        <v>271</v>
      </c>
      <c r="K226" s="6" t="n">
        <v>312</v>
      </c>
      <c r="L226" s="7" t="n">
        <f aca="false">K226*1.35582</f>
        <v>423.01584</v>
      </c>
      <c r="M226" s="6" t="n">
        <v>2562</v>
      </c>
      <c r="N226" s="7" t="n">
        <f aca="false">M226*0.453592</f>
        <v>1162.102704</v>
      </c>
      <c r="O226" s="3" t="s">
        <v>26</v>
      </c>
      <c r="P226" s="3" t="s">
        <v>27</v>
      </c>
      <c r="Q226" s="8" t="n">
        <f aca="false">J226/M226</f>
        <v>0.105776736924278</v>
      </c>
      <c r="R226" s="8" t="n">
        <f aca="false">J226/N226</f>
        <v>0.233197977310618</v>
      </c>
      <c r="S226" s="4" t="s">
        <v>63</v>
      </c>
    </row>
    <row r="227" customFormat="false" ht="14.25" hidden="false" customHeight="true" outlineLevel="0" collapsed="false">
      <c r="A227" s="3" t="s">
        <v>100</v>
      </c>
      <c r="B227" s="4" t="s">
        <v>343</v>
      </c>
      <c r="C227" s="4" t="s">
        <v>377</v>
      </c>
      <c r="D227" s="4" t="s">
        <v>217</v>
      </c>
      <c r="E227" s="3" t="s">
        <v>70</v>
      </c>
      <c r="F227" s="3" t="n">
        <v>648</v>
      </c>
      <c r="G227" s="4" t="s">
        <v>46</v>
      </c>
      <c r="H227" s="5" t="n">
        <v>35000</v>
      </c>
      <c r="I227" s="3" t="s">
        <v>25</v>
      </c>
      <c r="J227" s="6" t="n">
        <v>460</v>
      </c>
      <c r="K227" s="6" t="n">
        <v>420</v>
      </c>
      <c r="L227" s="7" t="n">
        <f aca="false">K227*1.35582</f>
        <v>569.4444</v>
      </c>
      <c r="M227" s="6" t="n">
        <v>3827</v>
      </c>
      <c r="N227" s="7" t="n">
        <f aca="false">M227*0.453592</f>
        <v>1735.896584</v>
      </c>
      <c r="O227" s="3" t="s">
        <v>26</v>
      </c>
      <c r="P227" s="3" t="s">
        <v>27</v>
      </c>
      <c r="Q227" s="8" t="n">
        <f aca="false">J227/M227</f>
        <v>0.120198588973086</v>
      </c>
      <c r="R227" s="8" t="n">
        <f aca="false">J227/N227</f>
        <v>0.264992744521698</v>
      </c>
      <c r="S227" s="4" t="s">
        <v>35</v>
      </c>
    </row>
    <row r="228" customFormat="false" ht="14.25" hidden="false" customHeight="true" outlineLevel="0" collapsed="false">
      <c r="A228" s="3" t="s">
        <v>36</v>
      </c>
      <c r="B228" s="4" t="s">
        <v>343</v>
      </c>
      <c r="C228" s="4" t="s">
        <v>378</v>
      </c>
      <c r="D228" s="4" t="s">
        <v>171</v>
      </c>
      <c r="E228" s="3" t="s">
        <v>54</v>
      </c>
      <c r="F228" s="3" t="n">
        <v>721</v>
      </c>
      <c r="G228" s="4" t="s">
        <v>46</v>
      </c>
      <c r="H228" s="5" t="n">
        <v>88000</v>
      </c>
      <c r="I228" s="3" t="s">
        <v>25</v>
      </c>
      <c r="J228" s="6" t="n">
        <v>526</v>
      </c>
      <c r="K228" s="6" t="n">
        <v>429</v>
      </c>
      <c r="L228" s="7" t="n">
        <f aca="false">K228*1.35582</f>
        <v>581.64678</v>
      </c>
      <c r="M228" s="6" t="n">
        <v>3660</v>
      </c>
      <c r="N228" s="7" t="n">
        <f aca="false">M228*0.453592</f>
        <v>1660.14672</v>
      </c>
      <c r="O228" s="3" t="s">
        <v>26</v>
      </c>
      <c r="P228" s="3" t="s">
        <v>27</v>
      </c>
      <c r="Q228" s="8" t="n">
        <f aca="false">J228/M228</f>
        <v>0.143715846994536</v>
      </c>
      <c r="R228" s="8" t="n">
        <f aca="false">J228/N228</f>
        <v>0.316839465851548</v>
      </c>
      <c r="S228" s="4" t="s">
        <v>35</v>
      </c>
    </row>
    <row r="229" customFormat="false" ht="14.25" hidden="false" customHeight="true" outlineLevel="0" collapsed="false">
      <c r="A229" s="3" t="s">
        <v>106</v>
      </c>
      <c r="B229" s="4" t="s">
        <v>343</v>
      </c>
      <c r="C229" s="4" t="s">
        <v>379</v>
      </c>
      <c r="D229" s="4" t="s">
        <v>217</v>
      </c>
      <c r="E229" s="3" t="s">
        <v>70</v>
      </c>
      <c r="F229" s="3" t="n">
        <v>647</v>
      </c>
      <c r="G229" s="4" t="s">
        <v>46</v>
      </c>
      <c r="H229" s="5" t="n">
        <v>60000</v>
      </c>
      <c r="I229" s="3" t="s">
        <v>25</v>
      </c>
      <c r="J229" s="6" t="n">
        <v>662</v>
      </c>
      <c r="K229" s="6" t="n">
        <v>631</v>
      </c>
      <c r="L229" s="7" t="n">
        <f aca="false">K229*1.35582</f>
        <v>855.52242</v>
      </c>
      <c r="M229" s="6" t="n">
        <v>3898</v>
      </c>
      <c r="N229" s="7" t="n">
        <f aca="false">M229*0.453592</f>
        <v>1768.101616</v>
      </c>
      <c r="O229" s="3" t="s">
        <v>26</v>
      </c>
      <c r="P229" s="3" t="s">
        <v>27</v>
      </c>
      <c r="Q229" s="8" t="n">
        <f aca="false">J229/M229</f>
        <v>0.169830682401231</v>
      </c>
      <c r="R229" s="8" t="n">
        <f aca="false">J229/N229</f>
        <v>0.37441286971823</v>
      </c>
      <c r="S229" s="4" t="s">
        <v>35</v>
      </c>
    </row>
    <row r="230" customFormat="false" ht="14.25" hidden="false" customHeight="true" outlineLevel="0" collapsed="false">
      <c r="A230" s="3" t="s">
        <v>141</v>
      </c>
      <c r="B230" s="4" t="s">
        <v>343</v>
      </c>
      <c r="C230" s="4" t="s">
        <v>379</v>
      </c>
      <c r="D230" s="4" t="s">
        <v>217</v>
      </c>
      <c r="E230" s="3" t="s">
        <v>54</v>
      </c>
      <c r="F230" s="3" t="n">
        <v>734</v>
      </c>
      <c r="G230" s="4" t="s">
        <v>46</v>
      </c>
      <c r="H230" s="5" t="n">
        <v>125000</v>
      </c>
      <c r="I230" s="3" t="s">
        <v>25</v>
      </c>
      <c r="J230" s="6" t="n">
        <v>760</v>
      </c>
      <c r="K230" s="6" t="n">
        <v>625</v>
      </c>
      <c r="L230" s="7" t="n">
        <f aca="false">K230*1.35582</f>
        <v>847.3875</v>
      </c>
      <c r="M230" s="6" t="n">
        <v>4171</v>
      </c>
      <c r="N230" s="7" t="n">
        <f aca="false">M230*0.453592</f>
        <v>1891.932232</v>
      </c>
      <c r="O230" s="3" t="s">
        <v>26</v>
      </c>
      <c r="P230" s="3" t="s">
        <v>27</v>
      </c>
      <c r="Q230" s="8" t="n">
        <f aca="false">J230/M230</f>
        <v>0.182210501078878</v>
      </c>
      <c r="R230" s="8" t="n">
        <f aca="false">J230/N230</f>
        <v>0.401705720292417</v>
      </c>
      <c r="S230" s="4" t="s">
        <v>35</v>
      </c>
    </row>
    <row r="231" customFormat="false" ht="14.25" hidden="false" customHeight="true" outlineLevel="0" collapsed="false">
      <c r="A231" s="3" t="s">
        <v>164</v>
      </c>
      <c r="B231" s="4" t="s">
        <v>343</v>
      </c>
      <c r="C231" s="4" t="s">
        <v>380</v>
      </c>
      <c r="D231" s="4" t="s">
        <v>214</v>
      </c>
      <c r="E231" s="3" t="s">
        <v>23</v>
      </c>
      <c r="F231" s="3" t="n">
        <v>432</v>
      </c>
      <c r="G231" s="4" t="s">
        <v>46</v>
      </c>
      <c r="H231" s="5" t="n">
        <v>84000</v>
      </c>
      <c r="I231" s="3" t="s">
        <v>33</v>
      </c>
      <c r="J231" s="6" t="n">
        <v>235</v>
      </c>
      <c r="K231" s="6" t="n">
        <v>280</v>
      </c>
      <c r="L231" s="7" t="n">
        <f aca="false">K231*1.35582</f>
        <v>379.6296</v>
      </c>
      <c r="M231" s="6" t="n">
        <v>3125</v>
      </c>
      <c r="N231" s="7" t="n">
        <f aca="false">M231*0.453592</f>
        <v>1417.475</v>
      </c>
      <c r="O231" s="3" t="s">
        <v>26</v>
      </c>
      <c r="P231" s="3" t="s">
        <v>27</v>
      </c>
      <c r="Q231" s="8" t="n">
        <f aca="false">J231/M231</f>
        <v>0.0752</v>
      </c>
      <c r="R231" s="8" t="n">
        <f aca="false">J231/N231</f>
        <v>0.16578775639782</v>
      </c>
      <c r="S231" s="4" t="s">
        <v>35</v>
      </c>
    </row>
    <row r="232" customFormat="false" ht="14.25" hidden="false" customHeight="true" outlineLevel="0" collapsed="false">
      <c r="A232" s="3" t="s">
        <v>381</v>
      </c>
      <c r="B232" s="4" t="s">
        <v>343</v>
      </c>
      <c r="C232" s="4" t="s">
        <v>380</v>
      </c>
      <c r="D232" s="4" t="s">
        <v>214</v>
      </c>
      <c r="E232" s="3" t="s">
        <v>39</v>
      </c>
      <c r="F232" s="3" t="n">
        <v>528</v>
      </c>
      <c r="G232" s="4" t="s">
        <v>46</v>
      </c>
      <c r="H232" s="5" t="n">
        <v>153000</v>
      </c>
      <c r="I232" s="3" t="s">
        <v>33</v>
      </c>
      <c r="J232" s="6" t="n">
        <v>385</v>
      </c>
      <c r="K232" s="6" t="n">
        <v>385</v>
      </c>
      <c r="L232" s="7" t="n">
        <f aca="false">K232*1.35582</f>
        <v>521.9907</v>
      </c>
      <c r="M232" s="6" t="n">
        <v>3589</v>
      </c>
      <c r="N232" s="7" t="n">
        <f aca="false">M232*0.453592</f>
        <v>1627.941688</v>
      </c>
      <c r="O232" s="3" t="s">
        <v>26</v>
      </c>
      <c r="P232" s="3" t="s">
        <v>27</v>
      </c>
      <c r="Q232" s="8" t="n">
        <f aca="false">J232/M232</f>
        <v>0.107272220674283</v>
      </c>
      <c r="R232" s="8" t="n">
        <f aca="false">J232/N232</f>
        <v>0.236494957305866</v>
      </c>
      <c r="S232" s="4" t="s">
        <v>35</v>
      </c>
    </row>
    <row r="233" customFormat="false" ht="14.25" hidden="false" customHeight="true" outlineLevel="0" collapsed="false">
      <c r="A233" s="3" t="s">
        <v>293</v>
      </c>
      <c r="B233" s="4" t="s">
        <v>343</v>
      </c>
      <c r="C233" s="4" t="s">
        <v>382</v>
      </c>
      <c r="D233" s="4" t="s">
        <v>158</v>
      </c>
      <c r="E233" s="3" t="s">
        <v>23</v>
      </c>
      <c r="F233" s="3" t="n">
        <v>401</v>
      </c>
      <c r="G233" s="4" t="s">
        <v>46</v>
      </c>
      <c r="H233" s="5" t="n">
        <v>30000</v>
      </c>
      <c r="I233" s="3" t="s">
        <v>25</v>
      </c>
      <c r="J233" s="6" t="n">
        <v>153</v>
      </c>
      <c r="K233" s="6" t="n">
        <v>119</v>
      </c>
      <c r="L233" s="7" t="n">
        <f aca="false">K233*1.35582</f>
        <v>161.34258</v>
      </c>
      <c r="M233" s="6" t="n">
        <v>2588</v>
      </c>
      <c r="N233" s="7" t="n">
        <f aca="false">M233*0.453592</f>
        <v>1173.896096</v>
      </c>
      <c r="O233" s="3" t="s">
        <v>47</v>
      </c>
      <c r="P233" s="3" t="s">
        <v>27</v>
      </c>
      <c r="Q233" s="8" t="n">
        <f aca="false">J233/M233</f>
        <v>0.0591190108191654</v>
      </c>
      <c r="R233" s="8" t="n">
        <f aca="false">J233/N233</f>
        <v>0.130335214949041</v>
      </c>
      <c r="S233" s="4" t="s">
        <v>35</v>
      </c>
    </row>
    <row r="234" customFormat="false" ht="14.25" hidden="false" customHeight="true" outlineLevel="0" collapsed="false">
      <c r="A234" s="3" t="s">
        <v>68</v>
      </c>
      <c r="B234" s="4" t="s">
        <v>343</v>
      </c>
      <c r="C234" s="4" t="s">
        <v>383</v>
      </c>
      <c r="D234" s="4" t="s">
        <v>349</v>
      </c>
      <c r="E234" s="3" t="s">
        <v>39</v>
      </c>
      <c r="F234" s="3" t="n">
        <v>530</v>
      </c>
      <c r="G234" s="4" t="s">
        <v>46</v>
      </c>
      <c r="H234" s="5"/>
      <c r="I234" s="3"/>
      <c r="J234" s="6" t="n">
        <v>349</v>
      </c>
      <c r="K234" s="6" t="n">
        <v>413</v>
      </c>
      <c r="L234" s="7" t="n">
        <f aca="false">K234*1.35582</f>
        <v>559.95366</v>
      </c>
      <c r="M234" s="6" t="n">
        <v>4354</v>
      </c>
      <c r="N234" s="7" t="n">
        <f aca="false">M234*0.453592</f>
        <v>1974.939568</v>
      </c>
      <c r="O234" s="3"/>
      <c r="P234" s="3"/>
      <c r="Q234" s="8" t="n">
        <f aca="false">J234/M234</f>
        <v>0.0801561782269178</v>
      </c>
      <c r="R234" s="8" t="n">
        <f aca="false">J234/N234</f>
        <v>0.176714267947666</v>
      </c>
      <c r="S234" s="4" t="s">
        <v>105</v>
      </c>
    </row>
    <row r="235" customFormat="false" ht="14.25" hidden="false" customHeight="true" outlineLevel="0" collapsed="false">
      <c r="A235" s="3" t="s">
        <v>384</v>
      </c>
      <c r="B235" s="4" t="s">
        <v>343</v>
      </c>
      <c r="C235" s="4" t="s">
        <v>385</v>
      </c>
      <c r="D235" s="4" t="s">
        <v>136</v>
      </c>
      <c r="E235" s="3" t="s">
        <v>54</v>
      </c>
      <c r="F235" s="3" t="n">
        <v>710</v>
      </c>
      <c r="G235" s="4" t="s">
        <v>46</v>
      </c>
      <c r="H235" s="5" t="n">
        <v>420000</v>
      </c>
      <c r="I235" s="3" t="s">
        <v>55</v>
      </c>
      <c r="J235" s="6" t="n">
        <v>506</v>
      </c>
      <c r="K235" s="6" t="n">
        <v>401</v>
      </c>
      <c r="L235" s="7" t="n">
        <f aca="false">K235*1.35582</f>
        <v>543.68382</v>
      </c>
      <c r="M235" s="6" t="n">
        <v>2464</v>
      </c>
      <c r="N235" s="7" t="n">
        <f aca="false">M235*0.453592</f>
        <v>1117.650688</v>
      </c>
      <c r="O235" s="3"/>
      <c r="P235" s="3"/>
      <c r="Q235" s="8" t="n">
        <f aca="false">J235/M235</f>
        <v>0.205357142857143</v>
      </c>
      <c r="R235" s="8" t="n">
        <f aca="false">J235/N235</f>
        <v>0.452735372002026</v>
      </c>
      <c r="S235" s="4" t="s">
        <v>28</v>
      </c>
    </row>
    <row r="236" customFormat="false" ht="14.25" hidden="false" customHeight="true" outlineLevel="0" collapsed="false">
      <c r="A236" s="3" t="s">
        <v>211</v>
      </c>
      <c r="B236" s="4" t="s">
        <v>343</v>
      </c>
      <c r="C236" s="4" t="s">
        <v>386</v>
      </c>
      <c r="D236" s="4" t="s">
        <v>61</v>
      </c>
      <c r="E236" s="3" t="s">
        <v>23</v>
      </c>
      <c r="F236" s="3" t="n">
        <v>484</v>
      </c>
      <c r="G236" s="4" t="s">
        <v>46</v>
      </c>
      <c r="H236" s="5"/>
      <c r="I236" s="3"/>
      <c r="J236" s="6" t="n">
        <v>224</v>
      </c>
      <c r="K236" s="6" t="n">
        <v>206</v>
      </c>
      <c r="L236" s="7" t="n">
        <f aca="false">K236*1.35582</f>
        <v>279.29892</v>
      </c>
      <c r="M236" s="6" t="n">
        <v>2734</v>
      </c>
      <c r="N236" s="7" t="n">
        <f aca="false">M236*0.453592</f>
        <v>1240.120528</v>
      </c>
      <c r="O236" s="3"/>
      <c r="P236" s="3"/>
      <c r="Q236" s="8" t="n">
        <f aca="false">J236/M236</f>
        <v>0.0819312362838332</v>
      </c>
      <c r="R236" s="8" t="n">
        <f aca="false">J236/N236</f>
        <v>0.180627604287186</v>
      </c>
      <c r="S236" s="4" t="s">
        <v>188</v>
      </c>
    </row>
    <row r="237" customFormat="false" ht="14.25" hidden="false" customHeight="true" outlineLevel="0" collapsed="false">
      <c r="A237" s="3" t="s">
        <v>141</v>
      </c>
      <c r="B237" s="4" t="s">
        <v>343</v>
      </c>
      <c r="C237" s="4" t="s">
        <v>387</v>
      </c>
      <c r="D237" s="4" t="s">
        <v>260</v>
      </c>
      <c r="E237" s="3" t="s">
        <v>32</v>
      </c>
      <c r="F237" s="3" t="n">
        <v>379</v>
      </c>
      <c r="G237" s="4" t="s">
        <v>46</v>
      </c>
      <c r="H237" s="5" t="n">
        <v>65000</v>
      </c>
      <c r="I237" s="3" t="s">
        <v>33</v>
      </c>
      <c r="J237" s="6" t="n">
        <v>475</v>
      </c>
      <c r="K237" s="6" t="n">
        <v>1050</v>
      </c>
      <c r="L237" s="7" t="n">
        <f aca="false">K237*1.35582</f>
        <v>1423.611</v>
      </c>
      <c r="M237" s="6" t="n">
        <v>8587</v>
      </c>
      <c r="N237" s="7" t="n">
        <f aca="false">M237*0.453592</f>
        <v>3894.994504</v>
      </c>
      <c r="O237" s="3" t="s">
        <v>62</v>
      </c>
      <c r="P237" s="3" t="s">
        <v>27</v>
      </c>
      <c r="Q237" s="8" t="n">
        <f aca="false">J237/M237</f>
        <v>0.0553161756143007</v>
      </c>
      <c r="R237" s="8" t="n">
        <f aca="false">J237/N237</f>
        <v>0.121951391590462</v>
      </c>
      <c r="S237" s="4" t="s">
        <v>35</v>
      </c>
    </row>
    <row r="238" customFormat="false" ht="14.25" hidden="false" customHeight="true" outlineLevel="0" collapsed="false">
      <c r="A238" s="3" t="s">
        <v>141</v>
      </c>
      <c r="B238" s="4" t="s">
        <v>343</v>
      </c>
      <c r="C238" s="4" t="s">
        <v>388</v>
      </c>
      <c r="D238" s="4" t="s">
        <v>260</v>
      </c>
      <c r="E238" s="3" t="s">
        <v>70</v>
      </c>
      <c r="F238" s="3" t="n">
        <v>700</v>
      </c>
      <c r="G238" s="4" t="s">
        <v>46</v>
      </c>
      <c r="H238" s="5"/>
      <c r="I238" s="3"/>
      <c r="J238" s="6" t="n">
        <v>968</v>
      </c>
      <c r="K238" s="6" t="n">
        <v>1815</v>
      </c>
      <c r="L238" s="7" t="n">
        <f aca="false">K238*1.35582</f>
        <v>2460.8133</v>
      </c>
      <c r="M238" s="6" t="n">
        <v>6376</v>
      </c>
      <c r="N238" s="7" t="n">
        <f aca="false">M238*0.453592</f>
        <v>2892.102592</v>
      </c>
      <c r="O238" s="3"/>
      <c r="P238" s="3"/>
      <c r="Q238" s="8" t="n">
        <f aca="false">J238/M238</f>
        <v>0.151819322459222</v>
      </c>
      <c r="R238" s="8" t="n">
        <f aca="false">J238/N238</f>
        <v>0.334704585749356</v>
      </c>
      <c r="S238" s="4" t="s">
        <v>105</v>
      </c>
    </row>
    <row r="239" customFormat="false" ht="14.25" hidden="false" customHeight="true" outlineLevel="0" collapsed="false">
      <c r="A239" s="3" t="s">
        <v>322</v>
      </c>
      <c r="B239" s="4" t="s">
        <v>343</v>
      </c>
      <c r="C239" s="4" t="s">
        <v>389</v>
      </c>
      <c r="D239" s="4" t="s">
        <v>171</v>
      </c>
      <c r="E239" s="3" t="s">
        <v>54</v>
      </c>
      <c r="F239" s="3" t="n">
        <v>740</v>
      </c>
      <c r="G239" s="4" t="s">
        <v>46</v>
      </c>
      <c r="H239" s="5" t="n">
        <v>250000</v>
      </c>
      <c r="I239" s="3" t="s">
        <v>55</v>
      </c>
      <c r="J239" s="6" t="n">
        <v>253</v>
      </c>
      <c r="K239" s="6" t="n">
        <v>253</v>
      </c>
      <c r="L239" s="7" t="n">
        <f aca="false">K239*1.35582</f>
        <v>343.02246</v>
      </c>
      <c r="M239" s="6" t="n">
        <v>1962</v>
      </c>
      <c r="N239" s="7" t="n">
        <f aca="false">M239*0.453592</f>
        <v>889.947504</v>
      </c>
      <c r="O239" s="3" t="s">
        <v>26</v>
      </c>
      <c r="P239" s="3" t="s">
        <v>67</v>
      </c>
      <c r="Q239" s="8" t="n">
        <f aca="false">J239/M239</f>
        <v>0.1289500509684</v>
      </c>
      <c r="R239" s="8" t="n">
        <f aca="false">J239/N239</f>
        <v>0.284286431348877</v>
      </c>
      <c r="S239" s="4" t="s">
        <v>35</v>
      </c>
    </row>
    <row r="240" customFormat="false" ht="14.25" hidden="false" customHeight="true" outlineLevel="0" collapsed="false">
      <c r="A240" s="3" t="s">
        <v>51</v>
      </c>
      <c r="B240" s="4" t="s">
        <v>343</v>
      </c>
      <c r="C240" s="4" t="s">
        <v>390</v>
      </c>
      <c r="D240" s="4" t="s">
        <v>103</v>
      </c>
      <c r="E240" s="3" t="s">
        <v>88</v>
      </c>
      <c r="F240" s="3" t="n">
        <v>919</v>
      </c>
      <c r="G240" s="4" t="s">
        <v>46</v>
      </c>
      <c r="H240" s="5"/>
      <c r="I240" s="3"/>
      <c r="J240" s="6" t="n">
        <v>1878</v>
      </c>
      <c r="K240" s="6" t="n">
        <v>1179</v>
      </c>
      <c r="L240" s="7" t="n">
        <f aca="false">K240*1.35582</f>
        <v>1598.51178</v>
      </c>
      <c r="M240" s="6" t="n">
        <v>4385</v>
      </c>
      <c r="N240" s="7" t="n">
        <f aca="false">M240*0.453592</f>
        <v>1989.00092</v>
      </c>
      <c r="O240" s="3"/>
      <c r="P240" s="3"/>
      <c r="Q240" s="8" t="n">
        <f aca="false">J240/M240</f>
        <v>0.428278221208666</v>
      </c>
      <c r="R240" s="8" t="n">
        <f aca="false">J240/N240</f>
        <v>0.944192625109495</v>
      </c>
      <c r="S240" s="4" t="s">
        <v>84</v>
      </c>
    </row>
    <row r="241" customFormat="false" ht="14.25" hidden="false" customHeight="true" outlineLevel="0" collapsed="false">
      <c r="A241" s="3" t="s">
        <v>181</v>
      </c>
      <c r="B241" s="4" t="s">
        <v>343</v>
      </c>
      <c r="C241" s="4" t="s">
        <v>391</v>
      </c>
      <c r="D241" s="4" t="s">
        <v>231</v>
      </c>
      <c r="E241" s="3" t="s">
        <v>32</v>
      </c>
      <c r="F241" s="3" t="n">
        <v>332</v>
      </c>
      <c r="G241" s="4" t="s">
        <v>46</v>
      </c>
      <c r="H241" s="5"/>
      <c r="I241" s="3"/>
      <c r="J241" s="6" t="n">
        <v>270</v>
      </c>
      <c r="K241" s="6" t="n">
        <v>336</v>
      </c>
      <c r="L241" s="7" t="n">
        <f aca="false">K241*1.35582</f>
        <v>455.55552</v>
      </c>
      <c r="M241" s="6" t="n">
        <v>3417</v>
      </c>
      <c r="N241" s="7" t="n">
        <f aca="false">M241*0.453592</f>
        <v>1549.923864</v>
      </c>
      <c r="O241" s="3" t="s">
        <v>26</v>
      </c>
      <c r="P241" s="3" t="s">
        <v>27</v>
      </c>
      <c r="Q241" s="8" t="n">
        <f aca="false">J241/M241</f>
        <v>0.0790166812993854</v>
      </c>
      <c r="R241" s="8" t="n">
        <f aca="false">J241/N241</f>
        <v>0.174202105194504</v>
      </c>
      <c r="S241" s="4" t="s">
        <v>75</v>
      </c>
    </row>
    <row r="242" customFormat="false" ht="14.25" hidden="false" customHeight="true" outlineLevel="0" collapsed="false">
      <c r="A242" s="3" t="s">
        <v>145</v>
      </c>
      <c r="B242" s="4" t="s">
        <v>343</v>
      </c>
      <c r="C242" s="4" t="s">
        <v>392</v>
      </c>
      <c r="D242" s="4" t="s">
        <v>254</v>
      </c>
      <c r="E242" s="3" t="s">
        <v>32</v>
      </c>
      <c r="F242" s="3" t="n">
        <v>235</v>
      </c>
      <c r="G242" s="4" t="s">
        <v>46</v>
      </c>
      <c r="H242" s="5" t="n">
        <v>42000</v>
      </c>
      <c r="I242" s="3" t="s">
        <v>25</v>
      </c>
      <c r="J242" s="6" t="n">
        <v>198</v>
      </c>
      <c r="K242" s="6" t="n">
        <v>346</v>
      </c>
      <c r="L242" s="7" t="n">
        <f aca="false">K242*1.35582</f>
        <v>469.11372</v>
      </c>
      <c r="M242" s="6" t="n">
        <v>4493</v>
      </c>
      <c r="N242" s="7" t="n">
        <f aca="false">M242*0.453592</f>
        <v>2037.988856</v>
      </c>
      <c r="O242" s="3" t="s">
        <v>26</v>
      </c>
      <c r="P242" s="3" t="s">
        <v>27</v>
      </c>
      <c r="Q242" s="8" t="n">
        <f aca="false">J242/M242</f>
        <v>0.0440685510794569</v>
      </c>
      <c r="R242" s="8" t="n">
        <f aca="false">J242/N242</f>
        <v>0.0971546038718869</v>
      </c>
      <c r="S242" s="4" t="s">
        <v>35</v>
      </c>
    </row>
    <row r="243" customFormat="false" ht="14.25" hidden="false" customHeight="true" outlineLevel="0" collapsed="false">
      <c r="A243" s="3" t="s">
        <v>175</v>
      </c>
      <c r="B243" s="4" t="s">
        <v>343</v>
      </c>
      <c r="C243" s="4" t="s">
        <v>393</v>
      </c>
      <c r="D243" s="4" t="s">
        <v>235</v>
      </c>
      <c r="E243" s="3" t="s">
        <v>23</v>
      </c>
      <c r="F243" s="3" t="n">
        <v>422</v>
      </c>
      <c r="G243" s="4" t="s">
        <v>46</v>
      </c>
      <c r="H243" s="5" t="n">
        <v>218000</v>
      </c>
      <c r="I243" s="3" t="s">
        <v>25</v>
      </c>
      <c r="J243" s="6" t="n">
        <v>300</v>
      </c>
      <c r="K243" s="6" t="n">
        <v>380</v>
      </c>
      <c r="L243" s="7" t="n">
        <f aca="false">K243*1.35582</f>
        <v>515.2116</v>
      </c>
      <c r="M243" s="6" t="n">
        <v>3047</v>
      </c>
      <c r="N243" s="7" t="n">
        <f aca="false">M243*0.453592</f>
        <v>1382.094824</v>
      </c>
      <c r="O243" s="3" t="s">
        <v>26</v>
      </c>
      <c r="P243" s="3" t="s">
        <v>27</v>
      </c>
      <c r="Q243" s="8" t="n">
        <f aca="false">J243/M243</f>
        <v>0.0984574991795209</v>
      </c>
      <c r="R243" s="8" t="n">
        <f aca="false">J243/N243</f>
        <v>0.217061807041396</v>
      </c>
      <c r="S243" s="4" t="s">
        <v>35</v>
      </c>
    </row>
    <row r="244" customFormat="false" ht="14.25" hidden="false" customHeight="true" outlineLevel="0" collapsed="false">
      <c r="A244" s="3" t="s">
        <v>71</v>
      </c>
      <c r="B244" s="4" t="s">
        <v>394</v>
      </c>
      <c r="C244" s="4" t="s">
        <v>395</v>
      </c>
      <c r="D244" s="4" t="s">
        <v>273</v>
      </c>
      <c r="E244" s="3" t="s">
        <v>54</v>
      </c>
      <c r="F244" s="3" t="n">
        <v>767</v>
      </c>
      <c r="G244" s="4" t="s">
        <v>46</v>
      </c>
      <c r="H244" s="5" t="n">
        <v>525000</v>
      </c>
      <c r="I244" s="3" t="s">
        <v>55</v>
      </c>
      <c r="J244" s="6" t="n">
        <v>917</v>
      </c>
      <c r="K244" s="6" t="n">
        <v>756</v>
      </c>
      <c r="L244" s="7" t="n">
        <f aca="false">K244*1.35582</f>
        <v>1024.99992</v>
      </c>
      <c r="M244" s="6" t="n">
        <v>3200</v>
      </c>
      <c r="N244" s="7" t="n">
        <f aca="false">M244*0.453592</f>
        <v>1451.4944</v>
      </c>
      <c r="O244" s="3" t="s">
        <v>26</v>
      </c>
      <c r="P244" s="3" t="s">
        <v>27</v>
      </c>
      <c r="Q244" s="8" t="n">
        <f aca="false">J244/M244</f>
        <v>0.2865625</v>
      </c>
      <c r="R244" s="8" t="n">
        <f aca="false">J244/N244</f>
        <v>0.631762685408914</v>
      </c>
      <c r="S244" s="4" t="s">
        <v>99</v>
      </c>
    </row>
    <row r="245" customFormat="false" ht="14.25" hidden="false" customHeight="true" outlineLevel="0" collapsed="false">
      <c r="A245" s="3" t="s">
        <v>94</v>
      </c>
      <c r="B245" s="4" t="s">
        <v>394</v>
      </c>
      <c r="C245" s="4" t="s">
        <v>396</v>
      </c>
      <c r="D245" s="4" t="s">
        <v>273</v>
      </c>
      <c r="E245" s="3" t="s">
        <v>54</v>
      </c>
      <c r="F245" s="3" t="n">
        <v>739</v>
      </c>
      <c r="G245" s="4" t="s">
        <v>46</v>
      </c>
      <c r="H245" s="5" t="n">
        <v>250000</v>
      </c>
      <c r="I245" s="3" t="s">
        <v>55</v>
      </c>
      <c r="J245" s="6" t="n">
        <v>986</v>
      </c>
      <c r="K245" s="6" t="n">
        <v>832</v>
      </c>
      <c r="L245" s="7" t="n">
        <f aca="false">K245*1.35582</f>
        <v>1128.04224</v>
      </c>
      <c r="M245" s="6" t="n">
        <v>3100</v>
      </c>
      <c r="N245" s="7" t="n">
        <f aca="false">M245*0.453592</f>
        <v>1406.1352</v>
      </c>
      <c r="O245" s="3"/>
      <c r="P245" s="3"/>
      <c r="Q245" s="8" t="n">
        <f aca="false">J245/M245</f>
        <v>0.318064516129032</v>
      </c>
      <c r="R245" s="8" t="n">
        <f aca="false">J245/N245</f>
        <v>0.701212799452002</v>
      </c>
      <c r="S245" s="4" t="s">
        <v>105</v>
      </c>
    </row>
    <row r="246" customFormat="false" ht="14.25" hidden="false" customHeight="true" outlineLevel="0" collapsed="false">
      <c r="A246" s="3" t="s">
        <v>141</v>
      </c>
      <c r="B246" s="4" t="s">
        <v>394</v>
      </c>
      <c r="C246" s="4" t="s">
        <v>397</v>
      </c>
      <c r="D246" s="4" t="s">
        <v>273</v>
      </c>
      <c r="E246" s="3" t="s">
        <v>54</v>
      </c>
      <c r="F246" s="3" t="n">
        <v>779</v>
      </c>
      <c r="G246" s="4" t="s">
        <v>46</v>
      </c>
      <c r="H246" s="5" t="n">
        <v>185000</v>
      </c>
      <c r="I246" s="3" t="s">
        <v>55</v>
      </c>
      <c r="J246" s="6" t="n">
        <v>1033</v>
      </c>
      <c r="K246" s="6" t="n">
        <v>908</v>
      </c>
      <c r="L246" s="7" t="n">
        <f aca="false">K246*1.35582</f>
        <v>1231.08456</v>
      </c>
      <c r="M246" s="6" t="n">
        <v>3156</v>
      </c>
      <c r="N246" s="7" t="n">
        <f aca="false">M246*0.453592</f>
        <v>1431.536352</v>
      </c>
      <c r="O246" s="3" t="s">
        <v>26</v>
      </c>
      <c r="P246" s="3" t="s">
        <v>27</v>
      </c>
      <c r="Q246" s="8" t="n">
        <f aca="false">J246/M246</f>
        <v>0.327313054499366</v>
      </c>
      <c r="R246" s="8" t="n">
        <f aca="false">J246/N246</f>
        <v>0.721602352994247</v>
      </c>
      <c r="S246" s="4" t="s">
        <v>35</v>
      </c>
    </row>
    <row r="247" customFormat="false" ht="14.25" hidden="false" customHeight="true" outlineLevel="0" collapsed="false">
      <c r="A247" s="3" t="s">
        <v>178</v>
      </c>
      <c r="B247" s="4" t="s">
        <v>394</v>
      </c>
      <c r="C247" s="4" t="s">
        <v>398</v>
      </c>
      <c r="D247" s="4" t="s">
        <v>273</v>
      </c>
      <c r="E247" s="3" t="s">
        <v>54</v>
      </c>
      <c r="F247" s="3" t="n">
        <v>759</v>
      </c>
      <c r="G247" s="4" t="s">
        <v>46</v>
      </c>
      <c r="H247" s="5" t="n">
        <v>150000</v>
      </c>
      <c r="I247" s="3" t="s">
        <v>55</v>
      </c>
      <c r="J247" s="6" t="n">
        <v>1035</v>
      </c>
      <c r="K247" s="6" t="n">
        <v>920</v>
      </c>
      <c r="L247" s="7" t="n">
        <f aca="false">K247*1.35582</f>
        <v>1247.3544</v>
      </c>
      <c r="M247" s="6" t="n">
        <v>2849</v>
      </c>
      <c r="N247" s="7" t="n">
        <f aca="false">M247*0.453592</f>
        <v>1292.283608</v>
      </c>
      <c r="O247" s="3" t="s">
        <v>26</v>
      </c>
      <c r="P247" s="3" t="s">
        <v>27</v>
      </c>
      <c r="Q247" s="8" t="n">
        <f aca="false">J247/M247</f>
        <v>0.363285363285363</v>
      </c>
      <c r="R247" s="8" t="n">
        <f aca="false">J247/N247</f>
        <v>0.800907783394247</v>
      </c>
      <c r="S247" s="4" t="s">
        <v>35</v>
      </c>
    </row>
    <row r="248" customFormat="false" ht="14.25" hidden="false" customHeight="true" outlineLevel="0" collapsed="false">
      <c r="A248" s="3" t="s">
        <v>121</v>
      </c>
      <c r="B248" s="4" t="s">
        <v>394</v>
      </c>
      <c r="C248" s="4" t="s">
        <v>399</v>
      </c>
      <c r="D248" s="4" t="s">
        <v>273</v>
      </c>
      <c r="E248" s="3" t="s">
        <v>54</v>
      </c>
      <c r="F248" s="3" t="n">
        <v>754</v>
      </c>
      <c r="G248" s="4" t="s">
        <v>46</v>
      </c>
      <c r="H248" s="5" t="n">
        <v>150000</v>
      </c>
      <c r="I248" s="3" t="s">
        <v>55</v>
      </c>
      <c r="J248" s="6" t="n">
        <v>1185</v>
      </c>
      <c r="K248" s="6" t="n">
        <v>867</v>
      </c>
      <c r="L248" s="7" t="n">
        <f aca="false">K248*1.35582</f>
        <v>1175.49594</v>
      </c>
      <c r="M248" s="6" t="n">
        <v>3156</v>
      </c>
      <c r="N248" s="7" t="n">
        <f aca="false">M248*0.453592</f>
        <v>1431.536352</v>
      </c>
      <c r="O248" s="3" t="s">
        <v>26</v>
      </c>
      <c r="P248" s="3" t="s">
        <v>27</v>
      </c>
      <c r="Q248" s="8" t="n">
        <f aca="false">J248/M248</f>
        <v>0.375475285171103</v>
      </c>
      <c r="R248" s="8" t="n">
        <f aca="false">J248/N248</f>
        <v>0.827781982863681</v>
      </c>
      <c r="S248" s="4" t="s">
        <v>35</v>
      </c>
    </row>
    <row r="249" customFormat="false" ht="14.25" hidden="false" customHeight="true" outlineLevel="0" collapsed="false">
      <c r="A249" s="3" t="s">
        <v>148</v>
      </c>
      <c r="B249" s="4" t="s">
        <v>394</v>
      </c>
      <c r="C249" s="4" t="s">
        <v>400</v>
      </c>
      <c r="D249" s="4" t="s">
        <v>273</v>
      </c>
      <c r="E249" s="3" t="s">
        <v>54</v>
      </c>
      <c r="F249" s="3" t="n">
        <v>748</v>
      </c>
      <c r="G249" s="4" t="s">
        <v>46</v>
      </c>
      <c r="H249" s="5"/>
      <c r="I249" s="3"/>
      <c r="J249" s="6" t="n">
        <v>1350</v>
      </c>
      <c r="K249" s="6" t="n">
        <v>1400</v>
      </c>
      <c r="L249" s="7" t="n">
        <f aca="false">K249*1.35582</f>
        <v>1898.148</v>
      </c>
      <c r="M249" s="6" t="n">
        <v>2900</v>
      </c>
      <c r="N249" s="7" t="n">
        <f aca="false">M249*0.453592</f>
        <v>1315.4168</v>
      </c>
      <c r="O249" s="3"/>
      <c r="P249" s="3"/>
      <c r="Q249" s="8" t="n">
        <f aca="false">J249/M249</f>
        <v>0.46551724137931</v>
      </c>
      <c r="R249" s="8" t="n">
        <f aca="false">J249/N249</f>
        <v>1.02629067836141</v>
      </c>
      <c r="S249" s="4" t="s">
        <v>105</v>
      </c>
    </row>
    <row r="250" customFormat="false" ht="14.25" hidden="false" customHeight="true" outlineLevel="0" collapsed="false">
      <c r="A250" s="3" t="s">
        <v>36</v>
      </c>
      <c r="B250" s="4" t="s">
        <v>394</v>
      </c>
      <c r="C250" s="4" t="s">
        <v>401</v>
      </c>
      <c r="D250" s="4" t="s">
        <v>273</v>
      </c>
      <c r="E250" s="3" t="s">
        <v>54</v>
      </c>
      <c r="F250" s="3" t="n">
        <v>710</v>
      </c>
      <c r="G250" s="4" t="s">
        <v>46</v>
      </c>
      <c r="H250" s="5" t="n">
        <v>150000</v>
      </c>
      <c r="I250" s="3" t="s">
        <v>55</v>
      </c>
      <c r="J250" s="6" t="n">
        <v>1000</v>
      </c>
      <c r="K250" s="6" t="n">
        <v>900</v>
      </c>
      <c r="L250" s="7" t="n">
        <f aca="false">K250*1.35582</f>
        <v>1220.238</v>
      </c>
      <c r="M250" s="6" t="n">
        <v>2899</v>
      </c>
      <c r="N250" s="7" t="n">
        <f aca="false">M250*0.453592</f>
        <v>1314.963208</v>
      </c>
      <c r="O250" s="3" t="s">
        <v>26</v>
      </c>
      <c r="P250" s="3" t="s">
        <v>27</v>
      </c>
      <c r="Q250" s="8" t="n">
        <f aca="false">J250/M250</f>
        <v>0.344946533287341</v>
      </c>
      <c r="R250" s="8" t="n">
        <f aca="false">J250/N250</f>
        <v>0.760477550943007</v>
      </c>
      <c r="S250" s="4" t="s">
        <v>35</v>
      </c>
    </row>
    <row r="251" customFormat="false" ht="14.25" hidden="false" customHeight="true" outlineLevel="0" collapsed="false">
      <c r="A251" s="3" t="s">
        <v>43</v>
      </c>
      <c r="B251" s="4" t="s">
        <v>394</v>
      </c>
      <c r="C251" s="4" t="s">
        <v>402</v>
      </c>
      <c r="D251" s="4" t="s">
        <v>273</v>
      </c>
      <c r="E251" s="3" t="s">
        <v>54</v>
      </c>
      <c r="F251" s="3" t="n">
        <v>783</v>
      </c>
      <c r="G251" s="4" t="s">
        <v>46</v>
      </c>
      <c r="H251" s="5" t="n">
        <v>200000</v>
      </c>
      <c r="I251" s="3" t="s">
        <v>55</v>
      </c>
      <c r="J251" s="6" t="n">
        <v>1300</v>
      </c>
      <c r="K251" s="6" t="n">
        <v>1300</v>
      </c>
      <c r="L251" s="7" t="n">
        <f aca="false">K251*1.35582</f>
        <v>1762.566</v>
      </c>
      <c r="M251" s="6" t="n">
        <v>3100</v>
      </c>
      <c r="N251" s="7" t="n">
        <f aca="false">M251*0.453592</f>
        <v>1406.1352</v>
      </c>
      <c r="O251" s="3" t="s">
        <v>26</v>
      </c>
      <c r="P251" s="3" t="s">
        <v>27</v>
      </c>
      <c r="Q251" s="8" t="n">
        <f aca="false">J251/M251</f>
        <v>0.419354838709677</v>
      </c>
      <c r="R251" s="8" t="n">
        <f aca="false">J251/N251</f>
        <v>0.924519918141584</v>
      </c>
      <c r="S251" s="4" t="s">
        <v>35</v>
      </c>
    </row>
    <row r="252" customFormat="false" ht="14.25" hidden="false" customHeight="true" outlineLevel="0" collapsed="false">
      <c r="A252" s="3" t="s">
        <v>106</v>
      </c>
      <c r="B252" s="4" t="s">
        <v>394</v>
      </c>
      <c r="C252" s="4" t="s">
        <v>403</v>
      </c>
      <c r="D252" s="4" t="s">
        <v>273</v>
      </c>
      <c r="E252" s="3" t="s">
        <v>54</v>
      </c>
      <c r="F252" s="3" t="n">
        <v>760</v>
      </c>
      <c r="G252" s="4" t="s">
        <v>46</v>
      </c>
      <c r="H252" s="5" t="n">
        <v>275000</v>
      </c>
      <c r="I252" s="3" t="s">
        <v>55</v>
      </c>
      <c r="J252" s="6" t="n">
        <v>1050</v>
      </c>
      <c r="K252" s="6" t="n">
        <v>850</v>
      </c>
      <c r="L252" s="7" t="n">
        <f aca="false">K252*1.35582</f>
        <v>1152.447</v>
      </c>
      <c r="M252" s="6" t="n">
        <v>3000</v>
      </c>
      <c r="N252" s="7" t="n">
        <f aca="false">M252*0.453592</f>
        <v>1360.776</v>
      </c>
      <c r="O252" s="3" t="s">
        <v>26</v>
      </c>
      <c r="P252" s="3" t="s">
        <v>27</v>
      </c>
      <c r="Q252" s="8" t="n">
        <f aca="false">J252/M252</f>
        <v>0.35</v>
      </c>
      <c r="R252" s="8" t="n">
        <f aca="false">J252/N252</f>
        <v>0.771618547064322</v>
      </c>
      <c r="S252" s="4" t="s">
        <v>35</v>
      </c>
    </row>
    <row r="253" customFormat="false" ht="14.25" hidden="false" customHeight="true" outlineLevel="0" collapsed="false">
      <c r="A253" s="3" t="s">
        <v>194</v>
      </c>
      <c r="B253" s="4" t="s">
        <v>394</v>
      </c>
      <c r="C253" s="4" t="s">
        <v>404</v>
      </c>
      <c r="D253" s="4" t="s">
        <v>273</v>
      </c>
      <c r="E253" s="3" t="s">
        <v>54</v>
      </c>
      <c r="F253" s="3" t="n">
        <v>748</v>
      </c>
      <c r="G253" s="4" t="s">
        <v>46</v>
      </c>
      <c r="H253" s="5" t="n">
        <v>150000</v>
      </c>
      <c r="I253" s="3" t="s">
        <v>55</v>
      </c>
      <c r="J253" s="6" t="n">
        <v>1251</v>
      </c>
      <c r="K253" s="6" t="n">
        <v>1118</v>
      </c>
      <c r="L253" s="7" t="n">
        <f aca="false">K253*1.35582</f>
        <v>1515.80676</v>
      </c>
      <c r="M253" s="6" t="n">
        <v>3100</v>
      </c>
      <c r="N253" s="7" t="n">
        <f aca="false">M253*0.453592</f>
        <v>1406.1352</v>
      </c>
      <c r="O253" s="3" t="s">
        <v>26</v>
      </c>
      <c r="P253" s="3" t="s">
        <v>27</v>
      </c>
      <c r="Q253" s="8" t="n">
        <f aca="false">J253/M253</f>
        <v>0.403548387096774</v>
      </c>
      <c r="R253" s="8" t="n">
        <f aca="false">J253/N253</f>
        <v>0.889672628919324</v>
      </c>
      <c r="S253" s="4" t="s">
        <v>99</v>
      </c>
    </row>
    <row r="254" customFormat="false" ht="14.25" hidden="false" customHeight="true" outlineLevel="0" collapsed="false">
      <c r="A254" s="3" t="s">
        <v>141</v>
      </c>
      <c r="B254" s="4" t="s">
        <v>394</v>
      </c>
      <c r="C254" s="4" t="s">
        <v>405</v>
      </c>
      <c r="D254" s="4" t="s">
        <v>273</v>
      </c>
      <c r="E254" s="3" t="s">
        <v>54</v>
      </c>
      <c r="F254" s="3" t="n">
        <v>748</v>
      </c>
      <c r="G254" s="4" t="s">
        <v>46</v>
      </c>
      <c r="H254" s="5" t="n">
        <v>150000</v>
      </c>
      <c r="I254" s="3" t="s">
        <v>55</v>
      </c>
      <c r="J254" s="6" t="n">
        <v>822</v>
      </c>
      <c r="K254" s="6" t="n">
        <v>678</v>
      </c>
      <c r="L254" s="7" t="n">
        <f aca="false">K254*1.35582</f>
        <v>919.24596</v>
      </c>
      <c r="M254" s="6" t="n">
        <v>2849</v>
      </c>
      <c r="N254" s="7" t="n">
        <f aca="false">M254*0.453592</f>
        <v>1292.283608</v>
      </c>
      <c r="O254" s="3" t="s">
        <v>26</v>
      </c>
      <c r="P254" s="3" t="s">
        <v>27</v>
      </c>
      <c r="Q254" s="8" t="n">
        <f aca="false">J254/M254</f>
        <v>0.288522288522289</v>
      </c>
      <c r="R254" s="8" t="n">
        <f aca="false">J254/N254</f>
        <v>0.636083283043547</v>
      </c>
      <c r="S254" s="4" t="s">
        <v>35</v>
      </c>
    </row>
    <row r="255" customFormat="false" ht="14.25" hidden="false" customHeight="true" outlineLevel="0" collapsed="false">
      <c r="A255" s="3" t="s">
        <v>325</v>
      </c>
      <c r="B255" s="4" t="s">
        <v>394</v>
      </c>
      <c r="C255" s="4" t="s">
        <v>406</v>
      </c>
      <c r="D255" s="4" t="s">
        <v>273</v>
      </c>
      <c r="E255" s="3" t="s">
        <v>54</v>
      </c>
      <c r="F255" s="3" t="n">
        <v>726</v>
      </c>
      <c r="G255" s="4" t="s">
        <v>46</v>
      </c>
      <c r="H255" s="5" t="n">
        <v>150000</v>
      </c>
      <c r="I255" s="3" t="s">
        <v>55</v>
      </c>
      <c r="J255" s="6" t="n">
        <v>750</v>
      </c>
      <c r="K255" s="6" t="n">
        <v>750</v>
      </c>
      <c r="L255" s="7" t="n">
        <f aca="false">K255*1.35582</f>
        <v>1016.865</v>
      </c>
      <c r="M255" s="6" t="n">
        <v>2800</v>
      </c>
      <c r="N255" s="7" t="n">
        <f aca="false">M255*0.453592</f>
        <v>1270.0576</v>
      </c>
      <c r="O255" s="3" t="s">
        <v>26</v>
      </c>
      <c r="P255" s="3" t="s">
        <v>27</v>
      </c>
      <c r="Q255" s="8" t="n">
        <f aca="false">J255/M255</f>
        <v>0.267857142857143</v>
      </c>
      <c r="R255" s="8" t="n">
        <f aca="false">J255/N255</f>
        <v>0.590524398263512</v>
      </c>
      <c r="S255" s="4" t="s">
        <v>35</v>
      </c>
    </row>
    <row r="256" customFormat="false" ht="14.25" hidden="false" customHeight="true" outlineLevel="0" collapsed="false">
      <c r="A256" s="3" t="s">
        <v>139</v>
      </c>
      <c r="B256" s="4" t="s">
        <v>394</v>
      </c>
      <c r="C256" s="4" t="s">
        <v>407</v>
      </c>
      <c r="D256" s="4" t="s">
        <v>273</v>
      </c>
      <c r="E256" s="3" t="s">
        <v>54</v>
      </c>
      <c r="F256" s="3" t="n">
        <v>737</v>
      </c>
      <c r="G256" s="4" t="s">
        <v>46</v>
      </c>
      <c r="H256" s="5" t="n">
        <v>150000</v>
      </c>
      <c r="I256" s="3" t="s">
        <v>55</v>
      </c>
      <c r="J256" s="6" t="n">
        <v>1000</v>
      </c>
      <c r="K256" s="6" t="n">
        <v>566</v>
      </c>
      <c r="L256" s="7" t="n">
        <f aca="false">K256*1.35582</f>
        <v>767.39412</v>
      </c>
      <c r="M256" s="6" t="n">
        <v>2824</v>
      </c>
      <c r="N256" s="7" t="n">
        <f aca="false">M256*0.453592</f>
        <v>1280.943808</v>
      </c>
      <c r="O256" s="3" t="s">
        <v>26</v>
      </c>
      <c r="P256" s="3" t="s">
        <v>27</v>
      </c>
      <c r="Q256" s="8" t="n">
        <f aca="false">J256/M256</f>
        <v>0.354107648725212</v>
      </c>
      <c r="R256" s="8" t="n">
        <f aca="false">J256/N256</f>
        <v>0.780674369753462</v>
      </c>
      <c r="S256" s="4" t="s">
        <v>99</v>
      </c>
    </row>
    <row r="257" customFormat="false" ht="14.25" hidden="false" customHeight="true" outlineLevel="0" collapsed="false">
      <c r="A257" s="3" t="s">
        <v>100</v>
      </c>
      <c r="B257" s="4" t="s">
        <v>408</v>
      </c>
      <c r="C257" s="4" t="s">
        <v>409</v>
      </c>
      <c r="D257" s="4" t="s">
        <v>91</v>
      </c>
      <c r="E257" s="3" t="s">
        <v>54</v>
      </c>
      <c r="F257" s="3" t="n">
        <v>752</v>
      </c>
      <c r="G257" s="4" t="s">
        <v>46</v>
      </c>
      <c r="H257" s="5" t="n">
        <v>300000</v>
      </c>
      <c r="I257" s="3" t="s">
        <v>55</v>
      </c>
      <c r="J257" s="6" t="n">
        <v>1750</v>
      </c>
      <c r="K257" s="6" t="n">
        <v>1475</v>
      </c>
      <c r="L257" s="7" t="n">
        <f aca="false">K257*1.35582</f>
        <v>1999.8345</v>
      </c>
      <c r="M257" s="6" t="n">
        <v>2800</v>
      </c>
      <c r="N257" s="7" t="n">
        <f aca="false">M257*0.453592</f>
        <v>1270.0576</v>
      </c>
      <c r="O257" s="3"/>
      <c r="P257" s="3"/>
      <c r="Q257" s="8" t="n">
        <f aca="false">J257/M257</f>
        <v>0.625</v>
      </c>
      <c r="R257" s="8" t="n">
        <f aca="false">J257/N257</f>
        <v>1.37789026261486</v>
      </c>
      <c r="S257" s="4" t="s">
        <v>84</v>
      </c>
    </row>
    <row r="258" customFormat="false" ht="14.25" hidden="false" customHeight="true" outlineLevel="0" collapsed="false">
      <c r="A258" s="3" t="s">
        <v>51</v>
      </c>
      <c r="B258" s="4" t="s">
        <v>410</v>
      </c>
      <c r="C258" s="4" t="s">
        <v>411</v>
      </c>
      <c r="D258" s="4" t="s">
        <v>260</v>
      </c>
      <c r="E258" s="3" t="s">
        <v>70</v>
      </c>
      <c r="F258" s="3" t="n">
        <v>610</v>
      </c>
      <c r="G258" s="4" t="s">
        <v>46</v>
      </c>
      <c r="H258" s="5" t="n">
        <v>95000</v>
      </c>
      <c r="I258" s="3" t="s">
        <v>55</v>
      </c>
      <c r="J258" s="6" t="n">
        <v>1026</v>
      </c>
      <c r="K258" s="6" t="n">
        <v>932</v>
      </c>
      <c r="L258" s="7" t="n">
        <f aca="false">K258*1.35582</f>
        <v>1263.62424</v>
      </c>
      <c r="M258" s="6" t="n">
        <v>9063</v>
      </c>
      <c r="N258" s="7" t="n">
        <f aca="false">M258*0.453592</f>
        <v>4110.904296</v>
      </c>
      <c r="O258" s="3" t="s">
        <v>62</v>
      </c>
      <c r="P258" s="3" t="s">
        <v>27</v>
      </c>
      <c r="Q258" s="8" t="n">
        <f aca="false">J258/M258</f>
        <v>0.113207547169811</v>
      </c>
      <c r="R258" s="8" t="n">
        <f aca="false">J258/N258</f>
        <v>0.249580123039673</v>
      </c>
      <c r="S258" s="4" t="s">
        <v>35</v>
      </c>
    </row>
    <row r="259" customFormat="false" ht="14.25" hidden="false" customHeight="true" outlineLevel="0" collapsed="false">
      <c r="A259" s="3" t="s">
        <v>237</v>
      </c>
      <c r="B259" s="4" t="s">
        <v>410</v>
      </c>
      <c r="C259" s="4" t="s">
        <v>412</v>
      </c>
      <c r="D259" s="4" t="s">
        <v>260</v>
      </c>
      <c r="E259" s="3" t="s">
        <v>23</v>
      </c>
      <c r="F259" s="3" t="n">
        <v>416</v>
      </c>
      <c r="G259" s="4" t="s">
        <v>46</v>
      </c>
      <c r="H259" s="5" t="n">
        <v>60000</v>
      </c>
      <c r="I259" s="3" t="s">
        <v>33</v>
      </c>
      <c r="J259" s="6" t="n">
        <v>300</v>
      </c>
      <c r="K259" s="6" t="n">
        <v>335</v>
      </c>
      <c r="L259" s="7" t="n">
        <f aca="false">K259*1.35582</f>
        <v>454.1997</v>
      </c>
      <c r="M259" s="6" t="n">
        <v>4007</v>
      </c>
      <c r="N259" s="7" t="n">
        <f aca="false">M259*0.453592</f>
        <v>1817.543144</v>
      </c>
      <c r="O259" s="3" t="s">
        <v>62</v>
      </c>
      <c r="P259" s="3" t="s">
        <v>27</v>
      </c>
      <c r="Q259" s="8" t="n">
        <f aca="false">J259/M259</f>
        <v>0.0748689792862491</v>
      </c>
      <c r="R259" s="8" t="n">
        <f aca="false">J259/N259</f>
        <v>0.165057980048698</v>
      </c>
      <c r="S259" s="4" t="s">
        <v>63</v>
      </c>
    </row>
    <row r="260" customFormat="false" ht="14.25" hidden="false" customHeight="true" outlineLevel="0" collapsed="false">
      <c r="A260" s="3" t="s">
        <v>413</v>
      </c>
      <c r="B260" s="4" t="s">
        <v>410</v>
      </c>
      <c r="C260" s="4" t="s">
        <v>414</v>
      </c>
      <c r="D260" s="4" t="s">
        <v>260</v>
      </c>
      <c r="E260" s="3" t="s">
        <v>23</v>
      </c>
      <c r="F260" s="3" t="n">
        <v>446</v>
      </c>
      <c r="G260" s="4" t="s">
        <v>46</v>
      </c>
      <c r="H260" s="5" t="n">
        <v>46000</v>
      </c>
      <c r="I260" s="3" t="s">
        <v>55</v>
      </c>
      <c r="J260" s="6" t="n">
        <v>280</v>
      </c>
      <c r="K260" s="6" t="n">
        <v>360</v>
      </c>
      <c r="L260" s="7" t="n">
        <f aca="false">K260*1.35582</f>
        <v>488.0952</v>
      </c>
      <c r="M260" s="6" t="n">
        <v>3613</v>
      </c>
      <c r="N260" s="7" t="n">
        <f aca="false">M260*0.453592</f>
        <v>1638.827896</v>
      </c>
      <c r="O260" s="3" t="s">
        <v>62</v>
      </c>
      <c r="P260" s="3" t="s">
        <v>27</v>
      </c>
      <c r="Q260" s="8" t="n">
        <f aca="false">J260/M260</f>
        <v>0.0774979241627457</v>
      </c>
      <c r="R260" s="8" t="n">
        <f aca="false">J260/N260</f>
        <v>0.170853816122739</v>
      </c>
      <c r="S260" s="4" t="s">
        <v>35</v>
      </c>
    </row>
    <row r="261" customFormat="false" ht="14.25" hidden="false" customHeight="true" outlineLevel="0" collapsed="false">
      <c r="A261" s="3" t="s">
        <v>164</v>
      </c>
      <c r="B261" s="4" t="s">
        <v>410</v>
      </c>
      <c r="C261" s="4" t="s">
        <v>415</v>
      </c>
      <c r="D261" s="4" t="s">
        <v>124</v>
      </c>
      <c r="E261" s="3" t="s">
        <v>23</v>
      </c>
      <c r="F261" s="3" t="n">
        <v>435</v>
      </c>
      <c r="G261" s="4" t="s">
        <v>46</v>
      </c>
      <c r="H261" s="5" t="n">
        <v>38000</v>
      </c>
      <c r="I261" s="3" t="s">
        <v>55</v>
      </c>
      <c r="J261" s="6" t="n">
        <v>280</v>
      </c>
      <c r="K261" s="6" t="n">
        <v>360</v>
      </c>
      <c r="L261" s="7" t="n">
        <f aca="false">K261*1.35582</f>
        <v>488.0952</v>
      </c>
      <c r="M261" s="6" t="n">
        <v>3800</v>
      </c>
      <c r="N261" s="7" t="n">
        <f aca="false">M261*0.453592</f>
        <v>1723.6496</v>
      </c>
      <c r="O261" s="3" t="s">
        <v>62</v>
      </c>
      <c r="P261" s="3" t="s">
        <v>27</v>
      </c>
      <c r="Q261" s="8" t="n">
        <f aca="false">J261/M261</f>
        <v>0.0736842105263158</v>
      </c>
      <c r="R261" s="8" t="n">
        <f aca="false">J261/N261</f>
        <v>0.162446009908278</v>
      </c>
      <c r="S261" s="4" t="s">
        <v>35</v>
      </c>
    </row>
    <row r="262" customFormat="false" ht="14.25" hidden="false" customHeight="true" outlineLevel="0" collapsed="false">
      <c r="A262" s="3" t="s">
        <v>51</v>
      </c>
      <c r="B262" s="4" t="s">
        <v>416</v>
      </c>
      <c r="C262" s="4" t="s">
        <v>417</v>
      </c>
      <c r="D262" s="4" t="s">
        <v>126</v>
      </c>
      <c r="E262" s="3" t="s">
        <v>109</v>
      </c>
      <c r="F262" s="3" t="n">
        <v>871</v>
      </c>
      <c r="G262" s="4" t="s">
        <v>110</v>
      </c>
      <c r="H262" s="5" t="n">
        <v>3050000</v>
      </c>
      <c r="I262" s="3" t="s">
        <v>66</v>
      </c>
      <c r="J262" s="6" t="n">
        <v>655</v>
      </c>
      <c r="K262" s="6" t="n">
        <v>344</v>
      </c>
      <c r="L262" s="7" t="n">
        <f aca="false">K262*1.35582</f>
        <v>466.40208</v>
      </c>
      <c r="M262" s="6" t="n">
        <v>2242</v>
      </c>
      <c r="N262" s="7" t="n">
        <f aca="false">M262*0.453592</f>
        <v>1016.953264</v>
      </c>
      <c r="O262" s="3" t="s">
        <v>26</v>
      </c>
      <c r="P262" s="3" t="s">
        <v>67</v>
      </c>
      <c r="Q262" s="8" t="n">
        <f aca="false">J262/M262</f>
        <v>0.292149866190901</v>
      </c>
      <c r="R262" s="8" t="n">
        <f aca="false">J262/N262</f>
        <v>0.644080729357883</v>
      </c>
      <c r="S262" s="4" t="s">
        <v>99</v>
      </c>
    </row>
    <row r="263" customFormat="false" ht="14.25" hidden="false" customHeight="true" outlineLevel="0" collapsed="false">
      <c r="A263" s="3" t="s">
        <v>330</v>
      </c>
      <c r="B263" s="4" t="s">
        <v>418</v>
      </c>
      <c r="C263" s="4" t="s">
        <v>419</v>
      </c>
      <c r="D263" s="4" t="s">
        <v>115</v>
      </c>
      <c r="E263" s="3" t="s">
        <v>54</v>
      </c>
      <c r="F263" s="3" t="n">
        <v>771</v>
      </c>
      <c r="G263" s="4" t="s">
        <v>168</v>
      </c>
      <c r="H263" s="5" t="n">
        <v>250000</v>
      </c>
      <c r="I263" s="3" t="s">
        <v>66</v>
      </c>
      <c r="J263" s="6" t="n">
        <v>700</v>
      </c>
      <c r="K263" s="6" t="n">
        <v>645</v>
      </c>
      <c r="L263" s="7" t="n">
        <f aca="false">K263*1.35582</f>
        <v>874.5039</v>
      </c>
      <c r="M263" s="6" t="n">
        <v>3803</v>
      </c>
      <c r="N263" s="7" t="n">
        <f aca="false">M263*0.453592</f>
        <v>1725.010376</v>
      </c>
      <c r="O263" s="3" t="s">
        <v>26</v>
      </c>
      <c r="P263" s="3" t="s">
        <v>27</v>
      </c>
      <c r="Q263" s="8" t="n">
        <f aca="false">J263/M263</f>
        <v>0.184065211674993</v>
      </c>
      <c r="R263" s="8" t="n">
        <f aca="false">J263/N263</f>
        <v>0.405794660564987</v>
      </c>
      <c r="S263" s="4" t="s">
        <v>35</v>
      </c>
    </row>
    <row r="264" customFormat="false" ht="14.25" hidden="false" customHeight="true" outlineLevel="0" collapsed="false">
      <c r="A264" s="3" t="s">
        <v>121</v>
      </c>
      <c r="B264" s="4" t="s">
        <v>420</v>
      </c>
      <c r="C264" s="4" t="s">
        <v>421</v>
      </c>
      <c r="D264" s="4" t="s">
        <v>260</v>
      </c>
      <c r="E264" s="3" t="s">
        <v>39</v>
      </c>
      <c r="F264" s="3" t="n">
        <v>520</v>
      </c>
      <c r="G264" s="4" t="s">
        <v>46</v>
      </c>
      <c r="H264" s="5" t="n">
        <v>375000</v>
      </c>
      <c r="I264" s="3" t="s">
        <v>66</v>
      </c>
      <c r="J264" s="6" t="n">
        <v>600</v>
      </c>
      <c r="K264" s="6" t="n">
        <v>622</v>
      </c>
      <c r="L264" s="7" t="n">
        <f aca="false">K264*1.35582</f>
        <v>843.32004</v>
      </c>
      <c r="M264" s="6" t="n">
        <v>6697</v>
      </c>
      <c r="N264" s="7" t="n">
        <f aca="false">M264*0.453592</f>
        <v>3037.705624</v>
      </c>
      <c r="O264" s="3" t="s">
        <v>62</v>
      </c>
      <c r="P264" s="3" t="s">
        <v>27</v>
      </c>
      <c r="Q264" s="8" t="n">
        <f aca="false">J264/M264</f>
        <v>0.089592354785725</v>
      </c>
      <c r="R264" s="8" t="n">
        <f aca="false">J264/N264</f>
        <v>0.197517493222378</v>
      </c>
      <c r="S264" s="4" t="s">
        <v>35</v>
      </c>
    </row>
    <row r="265" customFormat="false" ht="14.25" hidden="false" customHeight="true" outlineLevel="0" collapsed="false">
      <c r="A265" s="3" t="s">
        <v>76</v>
      </c>
      <c r="B265" s="4" t="s">
        <v>420</v>
      </c>
      <c r="C265" s="4" t="s">
        <v>422</v>
      </c>
      <c r="D265" s="4" t="s">
        <v>126</v>
      </c>
      <c r="E265" s="3" t="s">
        <v>109</v>
      </c>
      <c r="F265" s="3" t="n">
        <v>870</v>
      </c>
      <c r="G265" s="4" t="s">
        <v>46</v>
      </c>
      <c r="H265" s="5" t="n">
        <v>2050000</v>
      </c>
      <c r="I265" s="3" t="s">
        <v>66</v>
      </c>
      <c r="J265" s="6" t="n">
        <v>1817</v>
      </c>
      <c r="K265" s="6" t="n">
        <v>1193</v>
      </c>
      <c r="L265" s="7" t="n">
        <f aca="false">K265*1.35582</f>
        <v>1617.49326</v>
      </c>
      <c r="M265" s="6" t="n">
        <v>3053</v>
      </c>
      <c r="N265" s="7" t="n">
        <f aca="false">M265*0.453592</f>
        <v>1384.816376</v>
      </c>
      <c r="O265" s="3" t="s">
        <v>26</v>
      </c>
      <c r="P265" s="3" t="s">
        <v>67</v>
      </c>
      <c r="Q265" s="8" t="n">
        <f aca="false">J265/M265</f>
        <v>0.595152309204062</v>
      </c>
      <c r="R265" s="8" t="n">
        <f aca="false">J265/N265</f>
        <v>1.31208731460004</v>
      </c>
      <c r="S265" s="4" t="s">
        <v>35</v>
      </c>
    </row>
    <row r="266" customFormat="false" ht="14.25" hidden="false" customHeight="true" outlineLevel="0" collapsed="false">
      <c r="A266" s="3" t="s">
        <v>203</v>
      </c>
      <c r="B266" s="4" t="s">
        <v>420</v>
      </c>
      <c r="C266" s="4" t="s">
        <v>423</v>
      </c>
      <c r="D266" s="4" t="s">
        <v>126</v>
      </c>
      <c r="E266" s="3" t="s">
        <v>109</v>
      </c>
      <c r="F266" s="3" t="n">
        <v>845</v>
      </c>
      <c r="G266" s="4" t="s">
        <v>46</v>
      </c>
      <c r="H266" s="5"/>
      <c r="I266" s="3"/>
      <c r="J266" s="6" t="n">
        <v>1200</v>
      </c>
      <c r="K266" s="6" t="n">
        <v>1155</v>
      </c>
      <c r="L266" s="7" t="n">
        <f aca="false">K266*1.35582</f>
        <v>1565.9721</v>
      </c>
      <c r="M266" s="6" t="n">
        <v>2685</v>
      </c>
      <c r="N266" s="7" t="n">
        <f aca="false">M266*0.453592</f>
        <v>1217.89452</v>
      </c>
      <c r="O266" s="3"/>
      <c r="P266" s="3"/>
      <c r="Q266" s="8" t="n">
        <f aca="false">J266/M266</f>
        <v>0.446927374301676</v>
      </c>
      <c r="R266" s="8" t="n">
        <f aca="false">J266/N266</f>
        <v>0.985307003434091</v>
      </c>
      <c r="S266" s="4" t="s">
        <v>105</v>
      </c>
    </row>
    <row r="267" customFormat="false" ht="14.25" hidden="false" customHeight="true" outlineLevel="0" collapsed="false">
      <c r="A267" s="3" t="s">
        <v>352</v>
      </c>
      <c r="B267" s="4" t="s">
        <v>424</v>
      </c>
      <c r="C267" s="4" t="s">
        <v>425</v>
      </c>
      <c r="D267" s="4" t="s">
        <v>235</v>
      </c>
      <c r="E267" s="3" t="s">
        <v>23</v>
      </c>
      <c r="F267" s="3" t="n">
        <v>413</v>
      </c>
      <c r="G267" s="4" t="s">
        <v>426</v>
      </c>
      <c r="H267" s="5" t="n">
        <v>500000</v>
      </c>
      <c r="I267" s="3" t="s">
        <v>25</v>
      </c>
      <c r="J267" s="6" t="n">
        <v>216</v>
      </c>
      <c r="K267" s="6" t="n">
        <v>295</v>
      </c>
      <c r="L267" s="7" t="n">
        <f aca="false">K267*1.35582</f>
        <v>399.9669</v>
      </c>
      <c r="M267" s="6" t="n">
        <v>2520</v>
      </c>
      <c r="N267" s="7" t="n">
        <f aca="false">M267*0.453592</f>
        <v>1143.05184</v>
      </c>
      <c r="O267" s="3" t="s">
        <v>26</v>
      </c>
      <c r="P267" s="3" t="s">
        <v>27</v>
      </c>
      <c r="Q267" s="8" t="n">
        <f aca="false">J267/M267</f>
        <v>0.0857142857142857</v>
      </c>
      <c r="R267" s="8" t="n">
        <f aca="false">J267/N267</f>
        <v>0.188967807444324</v>
      </c>
      <c r="S267" s="4" t="s">
        <v>35</v>
      </c>
    </row>
    <row r="268" customFormat="false" ht="14.25" hidden="false" customHeight="true" outlineLevel="0" collapsed="false">
      <c r="A268" s="3" t="s">
        <v>85</v>
      </c>
      <c r="B268" s="4" t="s">
        <v>427</v>
      </c>
      <c r="C268" s="4" t="s">
        <v>428</v>
      </c>
      <c r="D268" s="4" t="s">
        <v>103</v>
      </c>
      <c r="E268" s="3" t="s">
        <v>109</v>
      </c>
      <c r="F268" s="3" t="n">
        <v>877</v>
      </c>
      <c r="G268" s="4" t="s">
        <v>168</v>
      </c>
      <c r="H268" s="5" t="n">
        <v>150000</v>
      </c>
      <c r="I268" s="3" t="s">
        <v>25</v>
      </c>
      <c r="J268" s="6" t="n">
        <v>493</v>
      </c>
      <c r="K268" s="6" t="n">
        <v>332</v>
      </c>
      <c r="L268" s="7" t="n">
        <f aca="false">K268*1.35582</f>
        <v>450.13224</v>
      </c>
      <c r="M268" s="6" t="n">
        <v>1800</v>
      </c>
      <c r="N268" s="7" t="n">
        <f aca="false">M268*0.453592</f>
        <v>816.4656</v>
      </c>
      <c r="O268" s="3" t="s">
        <v>47</v>
      </c>
      <c r="P268" s="3" t="s">
        <v>27</v>
      </c>
      <c r="Q268" s="8" t="n">
        <f aca="false">J268/M268</f>
        <v>0.273888888888889</v>
      </c>
      <c r="R268" s="8" t="n">
        <f aca="false">J268/N268</f>
        <v>0.603822132861446</v>
      </c>
      <c r="S268" s="4" t="s">
        <v>75</v>
      </c>
    </row>
    <row r="269" customFormat="false" ht="14.25" hidden="false" customHeight="true" outlineLevel="0" collapsed="false">
      <c r="A269" s="3" t="s">
        <v>58</v>
      </c>
      <c r="B269" s="4" t="s">
        <v>427</v>
      </c>
      <c r="C269" s="4" t="s">
        <v>429</v>
      </c>
      <c r="D269" s="4" t="s">
        <v>103</v>
      </c>
      <c r="E269" s="3" t="s">
        <v>88</v>
      </c>
      <c r="F269" s="3" t="n">
        <v>913</v>
      </c>
      <c r="G269" s="4" t="s">
        <v>168</v>
      </c>
      <c r="H269" s="5" t="n">
        <v>150000</v>
      </c>
      <c r="I269" s="3" t="s">
        <v>55</v>
      </c>
      <c r="J269" s="6" t="n">
        <v>800</v>
      </c>
      <c r="K269" s="6" t="n">
        <v>560</v>
      </c>
      <c r="L269" s="7" t="n">
        <f aca="false">K269*1.35582</f>
        <v>759.2592</v>
      </c>
      <c r="M269" s="6" t="n">
        <v>2028</v>
      </c>
      <c r="N269" s="7" t="n">
        <f aca="false">M269*0.453592</f>
        <v>919.884576</v>
      </c>
      <c r="O269" s="3" t="s">
        <v>47</v>
      </c>
      <c r="P269" s="3" t="s">
        <v>27</v>
      </c>
      <c r="Q269" s="8" t="n">
        <f aca="false">J269/M269</f>
        <v>0.394477317554241</v>
      </c>
      <c r="R269" s="8" t="n">
        <f aca="false">J269/N269</f>
        <v>0.86967432748867</v>
      </c>
      <c r="S269" s="4" t="s">
        <v>75</v>
      </c>
    </row>
    <row r="270" customFormat="false" ht="14.25" hidden="false" customHeight="true" outlineLevel="0" collapsed="false">
      <c r="A270" s="3" t="s">
        <v>48</v>
      </c>
      <c r="B270" s="4" t="s">
        <v>427</v>
      </c>
      <c r="C270" s="4" t="s">
        <v>430</v>
      </c>
      <c r="D270" s="4" t="s">
        <v>103</v>
      </c>
      <c r="E270" s="3" t="s">
        <v>109</v>
      </c>
      <c r="F270" s="3" t="n">
        <v>860</v>
      </c>
      <c r="G270" s="4" t="s">
        <v>168</v>
      </c>
      <c r="H270" s="5" t="n">
        <v>150000</v>
      </c>
      <c r="I270" s="3" t="s">
        <v>55</v>
      </c>
      <c r="J270" s="6" t="n">
        <v>551</v>
      </c>
      <c r="K270" s="6" t="n">
        <v>391</v>
      </c>
      <c r="L270" s="7" t="n">
        <f aca="false">K270*1.35582</f>
        <v>530.12562</v>
      </c>
      <c r="M270" s="6" t="n">
        <v>2072</v>
      </c>
      <c r="N270" s="7" t="n">
        <f aca="false">M270*0.453592</f>
        <v>939.842624</v>
      </c>
      <c r="O270" s="3" t="s">
        <v>47</v>
      </c>
      <c r="P270" s="3" t="s">
        <v>27</v>
      </c>
      <c r="Q270" s="8" t="n">
        <f aca="false">J270/M270</f>
        <v>0.265926640926641</v>
      </c>
      <c r="R270" s="8" t="n">
        <f aca="false">J270/N270</f>
        <v>0.586268366564315</v>
      </c>
      <c r="S270" s="4" t="s">
        <v>75</v>
      </c>
    </row>
    <row r="271" customFormat="false" ht="14.25" hidden="false" customHeight="true" outlineLevel="0" collapsed="false">
      <c r="A271" s="3" t="s">
        <v>431</v>
      </c>
      <c r="B271" s="4" t="s">
        <v>427</v>
      </c>
      <c r="C271" s="4" t="s">
        <v>432</v>
      </c>
      <c r="D271" s="4" t="s">
        <v>103</v>
      </c>
      <c r="E271" s="3" t="s">
        <v>109</v>
      </c>
      <c r="F271" s="3" t="n">
        <v>888</v>
      </c>
      <c r="G271" s="4" t="s">
        <v>168</v>
      </c>
      <c r="H271" s="5" t="n">
        <v>320000</v>
      </c>
      <c r="I271" s="3" t="s">
        <v>55</v>
      </c>
      <c r="J271" s="6" t="n">
        <v>670</v>
      </c>
      <c r="K271" s="6" t="n">
        <v>461</v>
      </c>
      <c r="L271" s="7" t="n">
        <f aca="false">K271*1.35582</f>
        <v>625.03302</v>
      </c>
      <c r="M271" s="6" t="n">
        <v>2400</v>
      </c>
      <c r="N271" s="7" t="n">
        <f aca="false">M271*0.453592</f>
        <v>1088.6208</v>
      </c>
      <c r="O271" s="3" t="s">
        <v>26</v>
      </c>
      <c r="P271" s="3" t="s">
        <v>27</v>
      </c>
      <c r="Q271" s="8" t="n">
        <f aca="false">J271/M271</f>
        <v>0.279166666666667</v>
      </c>
      <c r="R271" s="8" t="n">
        <f aca="false">J271/N271</f>
        <v>0.615457650634638</v>
      </c>
      <c r="S271" s="4" t="s">
        <v>75</v>
      </c>
    </row>
    <row r="272" customFormat="false" ht="14.25" hidden="false" customHeight="true" outlineLevel="0" collapsed="false">
      <c r="A272" s="3" t="s">
        <v>322</v>
      </c>
      <c r="B272" s="4" t="s">
        <v>427</v>
      </c>
      <c r="C272" s="4" t="s">
        <v>433</v>
      </c>
      <c r="D272" s="4" t="s">
        <v>167</v>
      </c>
      <c r="E272" s="3" t="s">
        <v>32</v>
      </c>
      <c r="F272" s="3" t="n">
        <v>100</v>
      </c>
      <c r="G272" s="4" t="s">
        <v>168</v>
      </c>
      <c r="H272" s="5" t="n">
        <v>9000</v>
      </c>
      <c r="I272" s="3" t="s">
        <v>33</v>
      </c>
      <c r="J272" s="6" t="n">
        <v>37</v>
      </c>
      <c r="K272" s="6" t="n">
        <v>40</v>
      </c>
      <c r="L272" s="7" t="n">
        <f aca="false">K272*1.35582</f>
        <v>54.2328</v>
      </c>
      <c r="M272" s="6" t="n">
        <v>1698</v>
      </c>
      <c r="N272" s="7" t="n">
        <f aca="false">M272*0.453592</f>
        <v>770.199216</v>
      </c>
      <c r="O272" s="3" t="s">
        <v>26</v>
      </c>
      <c r="P272" s="3" t="s">
        <v>67</v>
      </c>
      <c r="Q272" s="8" t="n">
        <f aca="false">J272/M272</f>
        <v>0.0217903415783274</v>
      </c>
      <c r="R272" s="8" t="n">
        <f aca="false">J272/N272</f>
        <v>0.0480395191677266</v>
      </c>
      <c r="S272" s="4" t="s">
        <v>112</v>
      </c>
    </row>
    <row r="273" customFormat="false" ht="14.25" hidden="false" customHeight="true" outlineLevel="0" collapsed="false">
      <c r="A273" s="3" t="s">
        <v>413</v>
      </c>
      <c r="B273" s="4" t="s">
        <v>427</v>
      </c>
      <c r="C273" s="4" t="s">
        <v>434</v>
      </c>
      <c r="D273" s="4" t="s">
        <v>167</v>
      </c>
      <c r="E273" s="3" t="s">
        <v>32</v>
      </c>
      <c r="F273" s="3" t="n">
        <v>283</v>
      </c>
      <c r="G273" s="4" t="s">
        <v>168</v>
      </c>
      <c r="H273" s="5" t="n">
        <v>15000</v>
      </c>
      <c r="I273" s="3" t="s">
        <v>25</v>
      </c>
      <c r="J273" s="6" t="n">
        <v>63</v>
      </c>
      <c r="K273" s="6" t="n">
        <v>44</v>
      </c>
      <c r="L273" s="7" t="n">
        <f aca="false">K273*1.35582</f>
        <v>59.65608</v>
      </c>
      <c r="M273" s="6" t="n">
        <v>1676</v>
      </c>
      <c r="N273" s="7" t="n">
        <f aca="false">M273*0.453592</f>
        <v>760.220192</v>
      </c>
      <c r="O273" s="3" t="s">
        <v>26</v>
      </c>
      <c r="P273" s="3" t="s">
        <v>67</v>
      </c>
      <c r="Q273" s="8" t="n">
        <f aca="false">J273/M273</f>
        <v>0.0375894988066826</v>
      </c>
      <c r="R273" s="8" t="n">
        <f aca="false">J273/N273</f>
        <v>0.0828707270116814</v>
      </c>
      <c r="S273" s="4" t="s">
        <v>112</v>
      </c>
    </row>
    <row r="274" customFormat="false" ht="14.25" hidden="false" customHeight="true" outlineLevel="0" collapsed="false">
      <c r="A274" s="3" t="s">
        <v>268</v>
      </c>
      <c r="B274" s="4" t="s">
        <v>427</v>
      </c>
      <c r="C274" s="4" t="s">
        <v>435</v>
      </c>
      <c r="D274" s="4" t="s">
        <v>167</v>
      </c>
      <c r="E274" s="3" t="s">
        <v>32</v>
      </c>
      <c r="F274" s="3" t="n">
        <v>203</v>
      </c>
      <c r="G274" s="4" t="s">
        <v>168</v>
      </c>
      <c r="H274" s="5" t="n">
        <v>7500</v>
      </c>
      <c r="I274" s="3" t="s">
        <v>55</v>
      </c>
      <c r="J274" s="6" t="n">
        <v>62</v>
      </c>
      <c r="K274" s="6" t="n">
        <v>72</v>
      </c>
      <c r="L274" s="7" t="n">
        <f aca="false">K274*1.35582</f>
        <v>97.61904</v>
      </c>
      <c r="M274" s="6" t="n">
        <v>1477</v>
      </c>
      <c r="N274" s="7" t="n">
        <f aca="false">M274*0.453592</f>
        <v>669.955384</v>
      </c>
      <c r="O274" s="3" t="s">
        <v>47</v>
      </c>
      <c r="P274" s="3" t="s">
        <v>27</v>
      </c>
      <c r="Q274" s="8" t="n">
        <f aca="false">J274/M274</f>
        <v>0.041976980365606</v>
      </c>
      <c r="R274" s="8" t="n">
        <f aca="false">J274/N274</f>
        <v>0.0925434759995899</v>
      </c>
      <c r="S274" s="4" t="s">
        <v>112</v>
      </c>
    </row>
    <row r="275" customFormat="false" ht="14.25" hidden="false" customHeight="true" outlineLevel="0" collapsed="false">
      <c r="A275" s="3" t="s">
        <v>268</v>
      </c>
      <c r="B275" s="4" t="s">
        <v>427</v>
      </c>
      <c r="C275" s="4" t="s">
        <v>436</v>
      </c>
      <c r="D275" s="4" t="s">
        <v>120</v>
      </c>
      <c r="E275" s="3" t="s">
        <v>32</v>
      </c>
      <c r="F275" s="3" t="n">
        <v>390</v>
      </c>
      <c r="G275" s="4" t="s">
        <v>168</v>
      </c>
      <c r="H275" s="5"/>
      <c r="I275" s="3"/>
      <c r="J275" s="6" t="n">
        <v>120</v>
      </c>
      <c r="K275" s="6" t="n">
        <v>92</v>
      </c>
      <c r="L275" s="7" t="n">
        <f aca="false">K275*1.35582</f>
        <v>124.73544</v>
      </c>
      <c r="M275" s="6" t="n">
        <v>1819</v>
      </c>
      <c r="N275" s="7" t="n">
        <f aca="false">M275*0.453592</f>
        <v>825.083848</v>
      </c>
      <c r="O275" s="3"/>
      <c r="P275" s="3"/>
      <c r="Q275" s="8" t="n">
        <f aca="false">J275/M275</f>
        <v>0.0659703133589885</v>
      </c>
      <c r="R275" s="8" t="n">
        <f aca="false">J275/N275</f>
        <v>0.145439763838402</v>
      </c>
      <c r="S275" s="4" t="s">
        <v>84</v>
      </c>
    </row>
    <row r="276" customFormat="false" ht="14.25" hidden="false" customHeight="true" outlineLevel="0" collapsed="false">
      <c r="A276" s="3" t="s">
        <v>437</v>
      </c>
      <c r="B276" s="4" t="s">
        <v>427</v>
      </c>
      <c r="C276" s="4" t="s">
        <v>438</v>
      </c>
      <c r="D276" s="4" t="s">
        <v>50</v>
      </c>
      <c r="E276" s="3" t="s">
        <v>32</v>
      </c>
      <c r="F276" s="3" t="n">
        <v>254</v>
      </c>
      <c r="G276" s="4" t="s">
        <v>168</v>
      </c>
      <c r="H276" s="5"/>
      <c r="I276" s="3"/>
      <c r="J276" s="6" t="n">
        <v>75</v>
      </c>
      <c r="K276" s="6" t="n">
        <v>74</v>
      </c>
      <c r="L276" s="7" t="n">
        <f aca="false">K276*1.35582</f>
        <v>100.33068</v>
      </c>
      <c r="M276" s="6" t="n">
        <v>1620</v>
      </c>
      <c r="N276" s="7" t="n">
        <f aca="false">M276*0.453592</f>
        <v>734.81904</v>
      </c>
      <c r="O276" s="3"/>
      <c r="P276" s="3"/>
      <c r="Q276" s="8" t="n">
        <f aca="false">J276/M276</f>
        <v>0.0462962962962963</v>
      </c>
      <c r="R276" s="8" t="n">
        <f aca="false">J276/N276</f>
        <v>0.102065945378879</v>
      </c>
      <c r="S276" s="4" t="s">
        <v>84</v>
      </c>
    </row>
    <row r="277" customFormat="false" ht="14.25" hidden="false" customHeight="true" outlineLevel="0" collapsed="false">
      <c r="A277" s="3" t="s">
        <v>133</v>
      </c>
      <c r="B277" s="4" t="s">
        <v>427</v>
      </c>
      <c r="C277" s="4" t="s">
        <v>439</v>
      </c>
      <c r="D277" s="4" t="s">
        <v>50</v>
      </c>
      <c r="E277" s="3" t="s">
        <v>32</v>
      </c>
      <c r="F277" s="3" t="n">
        <v>253</v>
      </c>
      <c r="G277" s="4" t="s">
        <v>168</v>
      </c>
      <c r="H277" s="5" t="n">
        <v>10000</v>
      </c>
      <c r="I277" s="3" t="s">
        <v>55</v>
      </c>
      <c r="J277" s="6" t="n">
        <v>91</v>
      </c>
      <c r="K277" s="6" t="n">
        <v>93</v>
      </c>
      <c r="L277" s="7" t="n">
        <f aca="false">K277*1.35582</f>
        <v>126.09126</v>
      </c>
      <c r="M277" s="6" t="n">
        <v>1955</v>
      </c>
      <c r="N277" s="7" t="n">
        <f aca="false">M277*0.453592</f>
        <v>886.77236</v>
      </c>
      <c r="O277" s="3" t="s">
        <v>47</v>
      </c>
      <c r="P277" s="3" t="s">
        <v>27</v>
      </c>
      <c r="Q277" s="8" t="n">
        <f aca="false">J277/M277</f>
        <v>0.0465473145780051</v>
      </c>
      <c r="R277" s="8" t="n">
        <f aca="false">J277/N277</f>
        <v>0.102619346412646</v>
      </c>
      <c r="S277" s="4" t="s">
        <v>63</v>
      </c>
    </row>
    <row r="278" customFormat="false" ht="14.25" hidden="false" customHeight="true" outlineLevel="0" collapsed="false">
      <c r="A278" s="3" t="s">
        <v>194</v>
      </c>
      <c r="B278" s="4" t="s">
        <v>427</v>
      </c>
      <c r="C278" s="4" t="s">
        <v>440</v>
      </c>
      <c r="D278" s="4" t="s">
        <v>50</v>
      </c>
      <c r="E278" s="3" t="s">
        <v>23</v>
      </c>
      <c r="F278" s="3" t="n">
        <v>430</v>
      </c>
      <c r="G278" s="4" t="s">
        <v>168</v>
      </c>
      <c r="H278" s="5" t="n">
        <v>30000</v>
      </c>
      <c r="I278" s="3" t="s">
        <v>33</v>
      </c>
      <c r="J278" s="6" t="n">
        <v>182</v>
      </c>
      <c r="K278" s="6" t="n">
        <v>118</v>
      </c>
      <c r="L278" s="7" t="n">
        <f aca="false">K278*1.35582</f>
        <v>159.98676</v>
      </c>
      <c r="M278" s="6" t="n">
        <v>2403</v>
      </c>
      <c r="N278" s="7" t="n">
        <f aca="false">M278*0.453592</f>
        <v>1089.981576</v>
      </c>
      <c r="O278" s="3" t="s">
        <v>47</v>
      </c>
      <c r="P278" s="3" t="s">
        <v>27</v>
      </c>
      <c r="Q278" s="8" t="n">
        <f aca="false">J278/M278</f>
        <v>0.0757386600083229</v>
      </c>
      <c r="R278" s="8" t="n">
        <f aca="false">J278/N278</f>
        <v>0.166975299406345</v>
      </c>
      <c r="S278" s="4" t="s">
        <v>35</v>
      </c>
    </row>
    <row r="279" customFormat="false" ht="14.25" hidden="false" customHeight="true" outlineLevel="0" collapsed="false">
      <c r="A279" s="3" t="s">
        <v>431</v>
      </c>
      <c r="B279" s="4" t="s">
        <v>427</v>
      </c>
      <c r="C279" s="4" t="s">
        <v>440</v>
      </c>
      <c r="D279" s="4" t="s">
        <v>50</v>
      </c>
      <c r="E279" s="3" t="s">
        <v>23</v>
      </c>
      <c r="F279" s="3" t="n">
        <v>480</v>
      </c>
      <c r="G279" s="4" t="s">
        <v>168</v>
      </c>
      <c r="H279" s="5" t="n">
        <v>15000</v>
      </c>
      <c r="I279" s="3" t="s">
        <v>33</v>
      </c>
      <c r="J279" s="6" t="n">
        <v>212</v>
      </c>
      <c r="K279" s="6" t="n">
        <v>149</v>
      </c>
      <c r="L279" s="7" t="n">
        <f aca="false">K279*1.35582</f>
        <v>202.01718</v>
      </c>
      <c r="M279" s="6" t="n">
        <v>2624</v>
      </c>
      <c r="N279" s="7" t="n">
        <f aca="false">M279*0.453592</f>
        <v>1190.225408</v>
      </c>
      <c r="O279" s="3" t="s">
        <v>47</v>
      </c>
      <c r="P279" s="3" t="s">
        <v>27</v>
      </c>
      <c r="Q279" s="8" t="n">
        <f aca="false">J279/M279</f>
        <v>0.0807926829268293</v>
      </c>
      <c r="R279" s="8" t="n">
        <f aca="false">J279/N279</f>
        <v>0.178117521752653</v>
      </c>
      <c r="S279" s="4" t="s">
        <v>35</v>
      </c>
    </row>
    <row r="280" customFormat="false" ht="14.25" hidden="false" customHeight="true" outlineLevel="0" collapsed="false">
      <c r="A280" s="3" t="s">
        <v>71</v>
      </c>
      <c r="B280" s="4" t="s">
        <v>427</v>
      </c>
      <c r="C280" s="4" t="s">
        <v>440</v>
      </c>
      <c r="D280" s="4" t="s">
        <v>38</v>
      </c>
      <c r="E280" s="3" t="s">
        <v>23</v>
      </c>
      <c r="F280" s="3" t="n">
        <v>454</v>
      </c>
      <c r="G280" s="4" t="s">
        <v>168</v>
      </c>
      <c r="H280" s="5" t="n">
        <v>17000</v>
      </c>
      <c r="I280" s="3" t="s">
        <v>33</v>
      </c>
      <c r="J280" s="6" t="n">
        <v>198</v>
      </c>
      <c r="K280" s="6" t="n">
        <v>142</v>
      </c>
      <c r="L280" s="7" t="n">
        <f aca="false">K280*1.35582</f>
        <v>192.52644</v>
      </c>
      <c r="M280" s="6" t="n">
        <v>2965</v>
      </c>
      <c r="N280" s="7" t="n">
        <f aca="false">M280*0.453592</f>
        <v>1344.90028</v>
      </c>
      <c r="O280" s="3" t="s">
        <v>47</v>
      </c>
      <c r="P280" s="3" t="s">
        <v>27</v>
      </c>
      <c r="Q280" s="8" t="n">
        <f aca="false">J280/M280</f>
        <v>0.066779089376054</v>
      </c>
      <c r="R280" s="8" t="n">
        <f aca="false">J280/N280</f>
        <v>0.147222811196084</v>
      </c>
      <c r="S280" s="4" t="s">
        <v>35</v>
      </c>
    </row>
    <row r="281" customFormat="false" ht="14.25" hidden="false" customHeight="true" outlineLevel="0" collapsed="false">
      <c r="A281" s="3" t="s">
        <v>196</v>
      </c>
      <c r="B281" s="4" t="s">
        <v>427</v>
      </c>
      <c r="C281" s="4" t="s">
        <v>440</v>
      </c>
      <c r="D281" s="4" t="s">
        <v>61</v>
      </c>
      <c r="E281" s="3" t="s">
        <v>39</v>
      </c>
      <c r="F281" s="3" t="n">
        <v>514</v>
      </c>
      <c r="G281" s="4" t="s">
        <v>168</v>
      </c>
      <c r="H281" s="5" t="n">
        <v>43000</v>
      </c>
      <c r="I281" s="3" t="s">
        <v>25</v>
      </c>
      <c r="J281" s="6" t="n">
        <v>221</v>
      </c>
      <c r="K281" s="6" t="n">
        <v>158</v>
      </c>
      <c r="L281" s="7" t="n">
        <f aca="false">K281*1.35582</f>
        <v>214.21956</v>
      </c>
      <c r="M281" s="6" t="n">
        <v>2800</v>
      </c>
      <c r="N281" s="7" t="n">
        <f aca="false">M281*0.453592</f>
        <v>1270.0576</v>
      </c>
      <c r="O281" s="3" t="s">
        <v>47</v>
      </c>
      <c r="P281" s="3" t="s">
        <v>27</v>
      </c>
      <c r="Q281" s="8" t="n">
        <f aca="false">J281/M281</f>
        <v>0.0789285714285714</v>
      </c>
      <c r="R281" s="8" t="n">
        <f aca="false">J281/N281</f>
        <v>0.174007856021648</v>
      </c>
      <c r="S281" s="4" t="s">
        <v>75</v>
      </c>
    </row>
    <row r="282" customFormat="false" ht="14.25" hidden="false" customHeight="true" outlineLevel="0" collapsed="false">
      <c r="A282" s="3" t="s">
        <v>94</v>
      </c>
      <c r="B282" s="4" t="s">
        <v>427</v>
      </c>
      <c r="C282" s="4" t="s">
        <v>440</v>
      </c>
      <c r="D282" s="4" t="s">
        <v>147</v>
      </c>
      <c r="E282" s="3" t="s">
        <v>39</v>
      </c>
      <c r="F282" s="3" t="n">
        <v>585</v>
      </c>
      <c r="G282" s="4" t="s">
        <v>168</v>
      </c>
      <c r="H282" s="5" t="n">
        <v>20000</v>
      </c>
      <c r="I282" s="3" t="s">
        <v>25</v>
      </c>
      <c r="J282" s="6" t="n">
        <v>306</v>
      </c>
      <c r="K282" s="6" t="n">
        <v>295</v>
      </c>
      <c r="L282" s="7" t="n">
        <f aca="false">K282*1.35582</f>
        <v>399.9669</v>
      </c>
      <c r="M282" s="6" t="n">
        <v>3047</v>
      </c>
      <c r="N282" s="7" t="n">
        <f aca="false">M282*0.453592</f>
        <v>1382.094824</v>
      </c>
      <c r="O282" s="3" t="s">
        <v>47</v>
      </c>
      <c r="P282" s="3" t="s">
        <v>27</v>
      </c>
      <c r="Q282" s="8" t="n">
        <f aca="false">J282/M282</f>
        <v>0.100426649163111</v>
      </c>
      <c r="R282" s="8" t="n">
        <f aca="false">J282/N282</f>
        <v>0.221403043182224</v>
      </c>
      <c r="S282" s="4" t="s">
        <v>35</v>
      </c>
    </row>
    <row r="283" customFormat="false" ht="14.25" hidden="false" customHeight="true" outlineLevel="0" collapsed="false">
      <c r="A283" s="3" t="s">
        <v>100</v>
      </c>
      <c r="B283" s="4" t="s">
        <v>427</v>
      </c>
      <c r="C283" s="4" t="s">
        <v>440</v>
      </c>
      <c r="D283" s="4" t="s">
        <v>147</v>
      </c>
      <c r="E283" s="3" t="s">
        <v>70</v>
      </c>
      <c r="F283" s="3" t="n">
        <v>608</v>
      </c>
      <c r="G283" s="4" t="s">
        <v>168</v>
      </c>
      <c r="H283" s="5" t="n">
        <v>30000</v>
      </c>
      <c r="I283" s="3" t="s">
        <v>33</v>
      </c>
      <c r="J283" s="6" t="n">
        <v>306</v>
      </c>
      <c r="K283" s="6" t="n">
        <v>295</v>
      </c>
      <c r="L283" s="7" t="n">
        <f aca="false">K283*1.35582</f>
        <v>399.9669</v>
      </c>
      <c r="M283" s="6" t="n">
        <v>3117</v>
      </c>
      <c r="N283" s="7" t="n">
        <f aca="false">M283*0.453592</f>
        <v>1413.846264</v>
      </c>
      <c r="O283" s="3" t="s">
        <v>47</v>
      </c>
      <c r="P283" s="3" t="s">
        <v>27</v>
      </c>
      <c r="Q283" s="8" t="n">
        <f aca="false">J283/M283</f>
        <v>0.0981713185755534</v>
      </c>
      <c r="R283" s="8" t="n">
        <f aca="false">J283/N283</f>
        <v>0.216430886293306</v>
      </c>
      <c r="S283" s="4" t="s">
        <v>35</v>
      </c>
    </row>
    <row r="284" customFormat="false" ht="14.25" hidden="false" customHeight="true" outlineLevel="0" collapsed="false">
      <c r="A284" s="3" t="s">
        <v>43</v>
      </c>
      <c r="B284" s="4" t="s">
        <v>427</v>
      </c>
      <c r="C284" s="4" t="s">
        <v>440</v>
      </c>
      <c r="D284" s="4" t="s">
        <v>147</v>
      </c>
      <c r="E284" s="3" t="s">
        <v>70</v>
      </c>
      <c r="F284" s="3" t="n">
        <v>620</v>
      </c>
      <c r="G284" s="4" t="s">
        <v>168</v>
      </c>
      <c r="H284" s="5" t="n">
        <v>35000</v>
      </c>
      <c r="I284" s="3" t="s">
        <v>25</v>
      </c>
      <c r="J284" s="6" t="n">
        <v>315</v>
      </c>
      <c r="K284" s="6" t="n">
        <v>310</v>
      </c>
      <c r="L284" s="7" t="n">
        <f aca="false">K284*1.35582</f>
        <v>420.3042</v>
      </c>
      <c r="M284" s="6" t="n">
        <v>3188</v>
      </c>
      <c r="N284" s="7" t="n">
        <f aca="false">M284*0.453592</f>
        <v>1446.051296</v>
      </c>
      <c r="O284" s="3" t="s">
        <v>47</v>
      </c>
      <c r="P284" s="3" t="s">
        <v>27</v>
      </c>
      <c r="Q284" s="8" t="n">
        <f aca="false">J284/M284</f>
        <v>0.0988080301129235</v>
      </c>
      <c r="R284" s="8" t="n">
        <f aca="false">J284/N284</f>
        <v>0.217834596097205</v>
      </c>
      <c r="S284" s="4" t="s">
        <v>112</v>
      </c>
    </row>
    <row r="285" customFormat="false" ht="14.25" hidden="false" customHeight="true" outlineLevel="0" collapsed="false">
      <c r="A285" s="3" t="s">
        <v>413</v>
      </c>
      <c r="B285" s="4" t="s">
        <v>427</v>
      </c>
      <c r="C285" s="4" t="s">
        <v>441</v>
      </c>
      <c r="D285" s="4" t="s">
        <v>50</v>
      </c>
      <c r="E285" s="3" t="s">
        <v>23</v>
      </c>
      <c r="F285" s="3" t="n">
        <v>465</v>
      </c>
      <c r="G285" s="4" t="s">
        <v>168</v>
      </c>
      <c r="H285" s="5"/>
      <c r="I285" s="3"/>
      <c r="J285" s="6" t="n">
        <v>158</v>
      </c>
      <c r="K285" s="6" t="n">
        <v>112</v>
      </c>
      <c r="L285" s="7" t="n">
        <f aca="false">K285*1.35582</f>
        <v>151.85184</v>
      </c>
      <c r="M285" s="6" t="n">
        <v>2161</v>
      </c>
      <c r="N285" s="7" t="n">
        <f aca="false">M285*0.453592</f>
        <v>980.212312</v>
      </c>
      <c r="O285" s="3"/>
      <c r="P285" s="3"/>
      <c r="Q285" s="8" t="n">
        <f aca="false">J285/M285</f>
        <v>0.0731142989356779</v>
      </c>
      <c r="R285" s="8" t="n">
        <f aca="false">J285/N285</f>
        <v>0.161189568898212</v>
      </c>
      <c r="S285" s="4" t="s">
        <v>28</v>
      </c>
    </row>
    <row r="286" customFormat="false" ht="14.25" hidden="false" customHeight="true" outlineLevel="0" collapsed="false">
      <c r="A286" s="3" t="s">
        <v>51</v>
      </c>
      <c r="B286" s="4" t="s">
        <v>427</v>
      </c>
      <c r="C286" s="4" t="s">
        <v>442</v>
      </c>
      <c r="D286" s="4" t="s">
        <v>38</v>
      </c>
      <c r="E286" s="3" t="s">
        <v>32</v>
      </c>
      <c r="F286" s="3" t="n">
        <v>398</v>
      </c>
      <c r="G286" s="4" t="s">
        <v>168</v>
      </c>
      <c r="H286" s="5" t="n">
        <v>30000</v>
      </c>
      <c r="I286" s="3" t="s">
        <v>33</v>
      </c>
      <c r="J286" s="6" t="n">
        <v>134</v>
      </c>
      <c r="K286" s="6" t="n">
        <v>232</v>
      </c>
      <c r="L286" s="7" t="n">
        <f aca="false">K286*1.35582</f>
        <v>314.55024</v>
      </c>
      <c r="M286" s="6" t="n">
        <v>3336</v>
      </c>
      <c r="N286" s="7" t="n">
        <f aca="false">M286*0.453592</f>
        <v>1513.182912</v>
      </c>
      <c r="O286" s="3" t="s">
        <v>26</v>
      </c>
      <c r="P286" s="3" t="s">
        <v>67</v>
      </c>
      <c r="Q286" s="8" t="n">
        <f aca="false">J286/M286</f>
        <v>0.0401678657074341</v>
      </c>
      <c r="R286" s="8" t="n">
        <f aca="false">J286/N286</f>
        <v>0.0885550576452716</v>
      </c>
      <c r="S286" s="4" t="s">
        <v>35</v>
      </c>
    </row>
    <row r="287" customFormat="false" ht="14.25" hidden="false" customHeight="true" outlineLevel="0" collapsed="false">
      <c r="A287" s="3" t="s">
        <v>237</v>
      </c>
      <c r="B287" s="4" t="s">
        <v>427</v>
      </c>
      <c r="C287" s="4" t="s">
        <v>443</v>
      </c>
      <c r="D287" s="4" t="s">
        <v>444</v>
      </c>
      <c r="E287" s="3" t="s">
        <v>32</v>
      </c>
      <c r="F287" s="3" t="n">
        <v>100</v>
      </c>
      <c r="G287" s="4" t="s">
        <v>168</v>
      </c>
      <c r="H287" s="5"/>
      <c r="I287" s="3"/>
      <c r="J287" s="6" t="n">
        <v>36</v>
      </c>
      <c r="K287" s="6" t="n">
        <v>31.8</v>
      </c>
      <c r="L287" s="7" t="n">
        <f aca="false">K287*1.35582</f>
        <v>43.115076</v>
      </c>
      <c r="M287" s="6" t="n">
        <v>1102</v>
      </c>
      <c r="N287" s="7" t="n">
        <f aca="false">M287*0.453592</f>
        <v>499.858384</v>
      </c>
      <c r="O287" s="3"/>
      <c r="P287" s="3"/>
      <c r="Q287" s="8" t="n">
        <f aca="false">J287/M287</f>
        <v>0.0326678765880218</v>
      </c>
      <c r="R287" s="8" t="n">
        <f aca="false">J287/N287</f>
        <v>0.0720203984815027</v>
      </c>
      <c r="S287" s="4" t="s">
        <v>28</v>
      </c>
    </row>
    <row r="288" customFormat="false" ht="14.25" hidden="false" customHeight="true" outlineLevel="0" collapsed="false">
      <c r="A288" s="3" t="s">
        <v>58</v>
      </c>
      <c r="B288" s="4" t="s">
        <v>427</v>
      </c>
      <c r="C288" s="4" t="s">
        <v>445</v>
      </c>
      <c r="D288" s="4" t="s">
        <v>120</v>
      </c>
      <c r="E288" s="3" t="s">
        <v>39</v>
      </c>
      <c r="F288" s="3" t="n">
        <v>572</v>
      </c>
      <c r="G288" s="4" t="s">
        <v>168</v>
      </c>
      <c r="H288" s="5" t="n">
        <v>450000</v>
      </c>
      <c r="I288" s="3" t="s">
        <v>55</v>
      </c>
      <c r="J288" s="6" t="n">
        <v>276</v>
      </c>
      <c r="K288" s="6" t="n">
        <v>217</v>
      </c>
      <c r="L288" s="7" t="n">
        <f aca="false">K288*1.35582</f>
        <v>294.21294</v>
      </c>
      <c r="M288" s="6" t="n">
        <v>2712</v>
      </c>
      <c r="N288" s="7" t="n">
        <f aca="false">M288*0.453592</f>
        <v>1230.141504</v>
      </c>
      <c r="O288" s="3" t="s">
        <v>26</v>
      </c>
      <c r="P288" s="3" t="s">
        <v>67</v>
      </c>
      <c r="Q288" s="8" t="n">
        <f aca="false">J288/M288</f>
        <v>0.101769911504425</v>
      </c>
      <c r="R288" s="8" t="n">
        <f aca="false">J288/N288</f>
        <v>0.224364432142597</v>
      </c>
      <c r="S288" s="4" t="s">
        <v>35</v>
      </c>
    </row>
    <row r="289" customFormat="false" ht="14.25" hidden="false" customHeight="true" outlineLevel="0" collapsed="false">
      <c r="A289" s="3" t="s">
        <v>195</v>
      </c>
      <c r="B289" s="4" t="s">
        <v>427</v>
      </c>
      <c r="C289" s="4" t="s">
        <v>445</v>
      </c>
      <c r="D289" s="4" t="s">
        <v>120</v>
      </c>
      <c r="E289" s="3" t="s">
        <v>39</v>
      </c>
      <c r="F289" s="3" t="n">
        <v>570</v>
      </c>
      <c r="G289" s="4" t="s">
        <v>168</v>
      </c>
      <c r="H289" s="5" t="n">
        <v>325000</v>
      </c>
      <c r="I289" s="3" t="s">
        <v>55</v>
      </c>
      <c r="J289" s="6" t="n">
        <v>290</v>
      </c>
      <c r="K289" s="6" t="n">
        <v>225</v>
      </c>
      <c r="L289" s="7" t="n">
        <f aca="false">K289*1.35582</f>
        <v>305.0595</v>
      </c>
      <c r="M289" s="6" t="n">
        <v>2800</v>
      </c>
      <c r="N289" s="7" t="n">
        <f aca="false">M289*0.453592</f>
        <v>1270.0576</v>
      </c>
      <c r="O289" s="3" t="s">
        <v>26</v>
      </c>
      <c r="P289" s="3" t="s">
        <v>67</v>
      </c>
      <c r="Q289" s="8" t="n">
        <f aca="false">J289/M289</f>
        <v>0.103571428571429</v>
      </c>
      <c r="R289" s="8" t="n">
        <f aca="false">J289/N289</f>
        <v>0.228336100661891</v>
      </c>
      <c r="S289" s="4" t="s">
        <v>99</v>
      </c>
    </row>
    <row r="290" customFormat="false" ht="14.25" hidden="false" customHeight="true" outlineLevel="0" collapsed="false">
      <c r="A290" s="3" t="s">
        <v>195</v>
      </c>
      <c r="B290" s="4" t="s">
        <v>427</v>
      </c>
      <c r="C290" s="4" t="s">
        <v>446</v>
      </c>
      <c r="D290" s="4" t="s">
        <v>120</v>
      </c>
      <c r="E290" s="3" t="s">
        <v>70</v>
      </c>
      <c r="F290" s="3" t="n">
        <v>608</v>
      </c>
      <c r="G290" s="4" t="s">
        <v>168</v>
      </c>
      <c r="H290" s="5" t="n">
        <v>600000</v>
      </c>
      <c r="I290" s="3" t="s">
        <v>447</v>
      </c>
      <c r="J290" s="6" t="n">
        <v>276</v>
      </c>
      <c r="K290" s="6" t="n">
        <v>224</v>
      </c>
      <c r="L290" s="7" t="n">
        <f aca="false">K290*1.35582</f>
        <v>303.70368</v>
      </c>
      <c r="M290" s="6" t="n">
        <v>2800</v>
      </c>
      <c r="N290" s="7" t="n">
        <f aca="false">M290*0.453592</f>
        <v>1270.0576</v>
      </c>
      <c r="O290" s="3"/>
      <c r="P290" s="3"/>
      <c r="Q290" s="8" t="n">
        <f aca="false">J290/M290</f>
        <v>0.0985714285714286</v>
      </c>
      <c r="R290" s="8" t="n">
        <f aca="false">J290/N290</f>
        <v>0.217312978560972</v>
      </c>
      <c r="S290" s="4" t="s">
        <v>188</v>
      </c>
    </row>
    <row r="291" customFormat="false" ht="14.25" hidden="false" customHeight="true" outlineLevel="0" collapsed="false">
      <c r="A291" s="3" t="s">
        <v>322</v>
      </c>
      <c r="B291" s="4" t="s">
        <v>427</v>
      </c>
      <c r="C291" s="4" t="s">
        <v>448</v>
      </c>
      <c r="D291" s="4" t="s">
        <v>50</v>
      </c>
      <c r="E291" s="3" t="s">
        <v>23</v>
      </c>
      <c r="F291" s="3" t="n">
        <v>410</v>
      </c>
      <c r="G291" s="4" t="s">
        <v>168</v>
      </c>
      <c r="H291" s="5" t="n">
        <v>15000</v>
      </c>
      <c r="I291" s="3" t="s">
        <v>33</v>
      </c>
      <c r="J291" s="6" t="n">
        <v>160</v>
      </c>
      <c r="K291" s="6" t="n">
        <v>156</v>
      </c>
      <c r="L291" s="7" t="n">
        <f aca="false">K291*1.35582</f>
        <v>211.50792</v>
      </c>
      <c r="M291" s="6" t="n">
        <v>2870</v>
      </c>
      <c r="N291" s="7" t="n">
        <f aca="false">M291*0.453592</f>
        <v>1301.80904</v>
      </c>
      <c r="O291" s="3" t="s">
        <v>47</v>
      </c>
      <c r="P291" s="3" t="s">
        <v>27</v>
      </c>
      <c r="Q291" s="8" t="n">
        <f aca="false">J291/M291</f>
        <v>0.0557491289198606</v>
      </c>
      <c r="R291" s="8" t="n">
        <f aca="false">J291/N291</f>
        <v>0.122905891020698</v>
      </c>
      <c r="S291" s="4" t="s">
        <v>112</v>
      </c>
    </row>
    <row r="292" customFormat="false" ht="14.25" hidden="false" customHeight="true" outlineLevel="0" collapsed="false">
      <c r="A292" s="3" t="s">
        <v>94</v>
      </c>
      <c r="B292" s="4" t="s">
        <v>427</v>
      </c>
      <c r="C292" s="4" t="s">
        <v>449</v>
      </c>
      <c r="D292" s="4" t="s">
        <v>93</v>
      </c>
      <c r="E292" s="3" t="s">
        <v>39</v>
      </c>
      <c r="F292" s="3" t="n">
        <v>580</v>
      </c>
      <c r="G292" s="4" t="s">
        <v>168</v>
      </c>
      <c r="H292" s="5" t="n">
        <v>400000</v>
      </c>
      <c r="I292" s="3" t="s">
        <v>55</v>
      </c>
      <c r="J292" s="6" t="n">
        <v>550</v>
      </c>
      <c r="K292" s="6" t="n">
        <v>470</v>
      </c>
      <c r="L292" s="7" t="n">
        <f aca="false">K292*1.35582</f>
        <v>637.2354</v>
      </c>
      <c r="M292" s="6" t="n">
        <v>4700</v>
      </c>
      <c r="N292" s="7" t="n">
        <f aca="false">M292*0.453592</f>
        <v>2131.8824</v>
      </c>
      <c r="O292" s="3" t="s">
        <v>26</v>
      </c>
      <c r="P292" s="3" t="s">
        <v>27</v>
      </c>
      <c r="Q292" s="8" t="n">
        <f aca="false">J292/M292</f>
        <v>0.117021276595745</v>
      </c>
      <c r="R292" s="8" t="n">
        <f aca="false">J292/N292</f>
        <v>0.257987964064059</v>
      </c>
      <c r="S292" s="4" t="s">
        <v>35</v>
      </c>
    </row>
    <row r="293" customFormat="false" ht="14.25" hidden="false" customHeight="true" outlineLevel="0" collapsed="false">
      <c r="A293" s="3" t="s">
        <v>118</v>
      </c>
      <c r="B293" s="4" t="s">
        <v>427</v>
      </c>
      <c r="C293" s="4" t="s">
        <v>450</v>
      </c>
      <c r="D293" s="4" t="s">
        <v>22</v>
      </c>
      <c r="E293" s="3" t="s">
        <v>39</v>
      </c>
      <c r="F293" s="3" t="n">
        <v>503</v>
      </c>
      <c r="G293" s="4" t="s">
        <v>168</v>
      </c>
      <c r="H293" s="5" t="n">
        <v>55000</v>
      </c>
      <c r="I293" s="3" t="s">
        <v>33</v>
      </c>
      <c r="J293" s="6" t="n">
        <v>247</v>
      </c>
      <c r="K293" s="6" t="n">
        <v>161</v>
      </c>
      <c r="L293" s="7" t="n">
        <f aca="false">K293*1.35582</f>
        <v>218.28702</v>
      </c>
      <c r="M293" s="6" t="n">
        <v>2756</v>
      </c>
      <c r="N293" s="7" t="n">
        <f aca="false">M293*0.453592</f>
        <v>1250.099552</v>
      </c>
      <c r="O293" s="3" t="s">
        <v>26</v>
      </c>
      <c r="P293" s="3" t="s">
        <v>27</v>
      </c>
      <c r="Q293" s="8" t="n">
        <f aca="false">J293/M293</f>
        <v>0.089622641509434</v>
      </c>
      <c r="R293" s="8" t="n">
        <f aca="false">J293/N293</f>
        <v>0.197584264073074</v>
      </c>
      <c r="S293" s="4" t="s">
        <v>35</v>
      </c>
    </row>
    <row r="294" customFormat="false" ht="14.25" hidden="false" customHeight="true" outlineLevel="0" collapsed="false">
      <c r="A294" s="3" t="s">
        <v>237</v>
      </c>
      <c r="B294" s="4" t="s">
        <v>427</v>
      </c>
      <c r="C294" s="4" t="s">
        <v>451</v>
      </c>
      <c r="D294" s="4" t="s">
        <v>31</v>
      </c>
      <c r="E294" s="3" t="s">
        <v>32</v>
      </c>
      <c r="F294" s="3" t="n">
        <v>134</v>
      </c>
      <c r="G294" s="4" t="s">
        <v>168</v>
      </c>
      <c r="H294" s="5" t="n">
        <v>40000</v>
      </c>
      <c r="I294" s="3" t="s">
        <v>33</v>
      </c>
      <c r="J294" s="6" t="n">
        <v>70</v>
      </c>
      <c r="K294" s="6" t="n">
        <v>48</v>
      </c>
      <c r="L294" s="7" t="n">
        <f aca="false">K294*1.35582</f>
        <v>65.07936</v>
      </c>
      <c r="M294" s="6" t="n">
        <v>1565</v>
      </c>
      <c r="N294" s="7" t="n">
        <f aca="false">M294*0.453592</f>
        <v>709.87148</v>
      </c>
      <c r="O294" s="3" t="s">
        <v>26</v>
      </c>
      <c r="P294" s="3" t="s">
        <v>27</v>
      </c>
      <c r="Q294" s="8" t="n">
        <f aca="false">J294/M294</f>
        <v>0.0447284345047923</v>
      </c>
      <c r="R294" s="8" t="n">
        <f aca="false">J294/N294</f>
        <v>0.0986093989858559</v>
      </c>
      <c r="S294" s="4" t="s">
        <v>35</v>
      </c>
    </row>
    <row r="295" customFormat="false" ht="14.25" hidden="false" customHeight="true" outlineLevel="0" collapsed="false">
      <c r="A295" s="3" t="s">
        <v>258</v>
      </c>
      <c r="B295" s="4" t="s">
        <v>427</v>
      </c>
      <c r="C295" s="4" t="s">
        <v>452</v>
      </c>
      <c r="D295" s="4" t="s">
        <v>167</v>
      </c>
      <c r="E295" s="3" t="s">
        <v>32</v>
      </c>
      <c r="F295" s="3" t="n">
        <v>100</v>
      </c>
      <c r="G295" s="4" t="s">
        <v>168</v>
      </c>
      <c r="H295" s="5" t="n">
        <v>15000</v>
      </c>
      <c r="I295" s="3" t="s">
        <v>33</v>
      </c>
      <c r="J295" s="6" t="n">
        <v>35</v>
      </c>
      <c r="K295" s="6" t="n">
        <v>23</v>
      </c>
      <c r="L295" s="7" t="n">
        <f aca="false">K295*1.35582</f>
        <v>31.18386</v>
      </c>
      <c r="M295" s="6" t="n">
        <v>1168</v>
      </c>
      <c r="N295" s="7" t="n">
        <f aca="false">M295*0.453592</f>
        <v>529.795456</v>
      </c>
      <c r="O295" s="3" t="s">
        <v>47</v>
      </c>
      <c r="P295" s="3" t="s">
        <v>27</v>
      </c>
      <c r="Q295" s="8" t="n">
        <f aca="false">J295/M295</f>
        <v>0.0299657534246575</v>
      </c>
      <c r="R295" s="8" t="n">
        <f aca="false">J295/N295</f>
        <v>0.0660632317692057</v>
      </c>
      <c r="S295" s="4" t="s">
        <v>75</v>
      </c>
    </row>
    <row r="296" customFormat="false" ht="14.25" hidden="false" customHeight="true" outlineLevel="0" collapsed="false">
      <c r="A296" s="3" t="s">
        <v>68</v>
      </c>
      <c r="B296" s="4" t="s">
        <v>453</v>
      </c>
      <c r="C296" s="4" t="s">
        <v>454</v>
      </c>
      <c r="D296" s="4" t="s">
        <v>217</v>
      </c>
      <c r="E296" s="3" t="s">
        <v>70</v>
      </c>
      <c r="F296" s="3" t="n">
        <v>601</v>
      </c>
      <c r="G296" s="4" t="s">
        <v>426</v>
      </c>
      <c r="H296" s="5" t="n">
        <v>81000</v>
      </c>
      <c r="I296" s="3" t="s">
        <v>25</v>
      </c>
      <c r="J296" s="6" t="n">
        <v>577</v>
      </c>
      <c r="K296" s="6" t="n">
        <v>545</v>
      </c>
      <c r="L296" s="7" t="n">
        <f aca="false">K296*1.35582</f>
        <v>738.9219</v>
      </c>
      <c r="M296" s="6" t="n">
        <v>4147</v>
      </c>
      <c r="N296" s="7" t="n">
        <f aca="false">M296*0.453592</f>
        <v>1881.046024</v>
      </c>
      <c r="O296" s="3" t="s">
        <v>26</v>
      </c>
      <c r="P296" s="3" t="s">
        <v>27</v>
      </c>
      <c r="Q296" s="8" t="n">
        <f aca="false">J296/M296</f>
        <v>0.139136725343622</v>
      </c>
      <c r="R296" s="8" t="n">
        <f aca="false">J296/N296</f>
        <v>0.306744222436952</v>
      </c>
      <c r="S296" s="4" t="s">
        <v>35</v>
      </c>
    </row>
    <row r="297" customFormat="false" ht="14.25" hidden="false" customHeight="true" outlineLevel="0" collapsed="false">
      <c r="A297" s="3" t="s">
        <v>68</v>
      </c>
      <c r="B297" s="4" t="s">
        <v>453</v>
      </c>
      <c r="C297" s="4" t="s">
        <v>455</v>
      </c>
      <c r="D297" s="4" t="s">
        <v>254</v>
      </c>
      <c r="E297" s="3" t="s">
        <v>70</v>
      </c>
      <c r="F297" s="3" t="n">
        <v>629</v>
      </c>
      <c r="G297" s="4" t="s">
        <v>426</v>
      </c>
      <c r="H297" s="5" t="n">
        <v>65000</v>
      </c>
      <c r="I297" s="3" t="s">
        <v>33</v>
      </c>
      <c r="J297" s="6" t="n">
        <v>577</v>
      </c>
      <c r="K297" s="6" t="n">
        <v>545</v>
      </c>
      <c r="L297" s="7" t="n">
        <f aca="false">K297*1.35582</f>
        <v>738.9219</v>
      </c>
      <c r="M297" s="6" t="n">
        <v>4034</v>
      </c>
      <c r="N297" s="7" t="n">
        <f aca="false">M297*0.453592</f>
        <v>1829.790128</v>
      </c>
      <c r="O297" s="3" t="s">
        <v>26</v>
      </c>
      <c r="P297" s="3" t="s">
        <v>27</v>
      </c>
      <c r="Q297" s="8" t="n">
        <f aca="false">J297/M297</f>
        <v>0.143034209221616</v>
      </c>
      <c r="R297" s="8" t="n">
        <f aca="false">J297/N297</f>
        <v>0.315336710571651</v>
      </c>
      <c r="S297" s="4" t="s">
        <v>35</v>
      </c>
    </row>
    <row r="298" customFormat="false" ht="14.25" hidden="false" customHeight="true" outlineLevel="0" collapsed="false">
      <c r="A298" s="3" t="s">
        <v>76</v>
      </c>
      <c r="B298" s="4" t="s">
        <v>456</v>
      </c>
      <c r="C298" s="4" t="s">
        <v>457</v>
      </c>
      <c r="D298" s="4" t="s">
        <v>38</v>
      </c>
      <c r="E298" s="3" t="s">
        <v>39</v>
      </c>
      <c r="F298" s="3" t="n">
        <v>564</v>
      </c>
      <c r="G298" s="4" t="s">
        <v>458</v>
      </c>
      <c r="H298" s="5" t="n">
        <v>48000</v>
      </c>
      <c r="I298" s="3" t="s">
        <v>25</v>
      </c>
      <c r="J298" s="6" t="n">
        <v>201</v>
      </c>
      <c r="K298" s="6" t="n">
        <v>224</v>
      </c>
      <c r="L298" s="7" t="n">
        <f aca="false">K298*1.35582</f>
        <v>303.70368</v>
      </c>
      <c r="M298" s="6" t="n">
        <v>2624</v>
      </c>
      <c r="N298" s="7" t="n">
        <f aca="false">M298*0.453592</f>
        <v>1190.225408</v>
      </c>
      <c r="O298" s="3" t="s">
        <v>47</v>
      </c>
      <c r="P298" s="3" t="s">
        <v>27</v>
      </c>
      <c r="Q298" s="8" t="n">
        <f aca="false">J298/M298</f>
        <v>0.0766006097560976</v>
      </c>
      <c r="R298" s="8" t="n">
        <f aca="false">J298/N298</f>
        <v>0.16887557486926</v>
      </c>
      <c r="S298" s="4" t="s">
        <v>35</v>
      </c>
    </row>
    <row r="299" customFormat="false" ht="14.25" hidden="false" customHeight="true" outlineLevel="0" collapsed="false">
      <c r="A299" s="3" t="s">
        <v>141</v>
      </c>
      <c r="B299" s="4" t="s">
        <v>456</v>
      </c>
      <c r="C299" s="4" t="s">
        <v>459</v>
      </c>
      <c r="D299" s="4" t="s">
        <v>147</v>
      </c>
      <c r="E299" s="3" t="s">
        <v>39</v>
      </c>
      <c r="F299" s="3" t="n">
        <v>553</v>
      </c>
      <c r="G299" s="4" t="s">
        <v>458</v>
      </c>
      <c r="H299" s="5" t="n">
        <v>32000</v>
      </c>
      <c r="I299" s="3" t="s">
        <v>25</v>
      </c>
      <c r="J299" s="6" t="n">
        <v>271</v>
      </c>
      <c r="K299" s="6" t="n">
        <v>279</v>
      </c>
      <c r="L299" s="7" t="n">
        <f aca="false">K299*1.35582</f>
        <v>378.27378</v>
      </c>
      <c r="M299" s="6" t="n">
        <v>3150</v>
      </c>
      <c r="N299" s="7" t="n">
        <f aca="false">M299*0.453592</f>
        <v>1428.8148</v>
      </c>
      <c r="O299" s="3" t="s">
        <v>47</v>
      </c>
      <c r="P299" s="3" t="s">
        <v>27</v>
      </c>
      <c r="Q299" s="8" t="n">
        <f aca="false">J299/M299</f>
        <v>0.086031746031746</v>
      </c>
      <c r="R299" s="8" t="n">
        <f aca="false">J299/N299</f>
        <v>0.189667688212636</v>
      </c>
      <c r="S299" s="4" t="s">
        <v>35</v>
      </c>
    </row>
    <row r="300" customFormat="false" ht="14.25" hidden="false" customHeight="true" outlineLevel="0" collapsed="false">
      <c r="A300" s="3" t="s">
        <v>43</v>
      </c>
      <c r="B300" s="4" t="s">
        <v>456</v>
      </c>
      <c r="C300" s="4" t="s">
        <v>460</v>
      </c>
      <c r="D300" s="4" t="s">
        <v>124</v>
      </c>
      <c r="E300" s="3" t="s">
        <v>70</v>
      </c>
      <c r="F300" s="3" t="n">
        <v>657</v>
      </c>
      <c r="G300" s="4" t="s">
        <v>458</v>
      </c>
      <c r="H300" s="5" t="n">
        <v>22000</v>
      </c>
      <c r="I300" s="3" t="s">
        <v>25</v>
      </c>
      <c r="J300" s="6" t="n">
        <v>641</v>
      </c>
      <c r="K300" s="6" t="n">
        <v>567</v>
      </c>
      <c r="L300" s="7" t="n">
        <f aca="false">K300*1.35582</f>
        <v>768.74994</v>
      </c>
      <c r="M300" s="6" t="n">
        <v>4881</v>
      </c>
      <c r="N300" s="7" t="n">
        <f aca="false">M300*0.453592</f>
        <v>2213.982552</v>
      </c>
      <c r="O300" s="3" t="s">
        <v>62</v>
      </c>
      <c r="P300" s="3" t="s">
        <v>67</v>
      </c>
      <c r="Q300" s="8" t="n">
        <f aca="false">J300/M300</f>
        <v>0.131325548043434</v>
      </c>
      <c r="R300" s="8" t="n">
        <f aca="false">J300/N300</f>
        <v>0.289523510210572</v>
      </c>
      <c r="S300" s="4" t="s">
        <v>35</v>
      </c>
    </row>
    <row r="301" customFormat="false" ht="14.25" hidden="false" customHeight="true" outlineLevel="0" collapsed="false">
      <c r="A301" s="3" t="s">
        <v>51</v>
      </c>
      <c r="B301" s="4" t="s">
        <v>456</v>
      </c>
      <c r="C301" s="4" t="s">
        <v>461</v>
      </c>
      <c r="D301" s="4" t="s">
        <v>171</v>
      </c>
      <c r="E301" s="3" t="s">
        <v>70</v>
      </c>
      <c r="F301" s="3" t="n">
        <v>692</v>
      </c>
      <c r="G301" s="4" t="s">
        <v>458</v>
      </c>
      <c r="H301" s="5" t="n">
        <v>325000</v>
      </c>
      <c r="I301" s="3" t="s">
        <v>25</v>
      </c>
      <c r="J301" s="6" t="n">
        <v>671</v>
      </c>
      <c r="K301" s="6" t="n">
        <v>653</v>
      </c>
      <c r="L301" s="7" t="n">
        <f aca="false">K301*1.35582</f>
        <v>885.35046</v>
      </c>
      <c r="M301" s="6" t="n">
        <v>5450</v>
      </c>
      <c r="N301" s="7" t="n">
        <f aca="false">M301*0.453592</f>
        <v>2472.0764</v>
      </c>
      <c r="O301" s="3" t="s">
        <v>26</v>
      </c>
      <c r="P301" s="3" t="s">
        <v>27</v>
      </c>
      <c r="Q301" s="8" t="n">
        <f aca="false">J301/M301</f>
        <v>0.123119266055046</v>
      </c>
      <c r="R301" s="8" t="n">
        <f aca="false">J301/N301</f>
        <v>0.271431740540058</v>
      </c>
      <c r="S301" s="4" t="s">
        <v>35</v>
      </c>
    </row>
    <row r="302" customFormat="false" ht="14.25" hidden="false" customHeight="true" outlineLevel="0" collapsed="false">
      <c r="A302" s="3" t="s">
        <v>121</v>
      </c>
      <c r="B302" s="4" t="s">
        <v>456</v>
      </c>
      <c r="C302" s="4" t="s">
        <v>462</v>
      </c>
      <c r="D302" s="4" t="s">
        <v>147</v>
      </c>
      <c r="E302" s="3" t="s">
        <v>39</v>
      </c>
      <c r="F302" s="3" t="n">
        <v>532</v>
      </c>
      <c r="G302" s="4" t="s">
        <v>458</v>
      </c>
      <c r="H302" s="5" t="n">
        <v>20000</v>
      </c>
      <c r="I302" s="3" t="s">
        <v>55</v>
      </c>
      <c r="J302" s="6" t="n">
        <v>275</v>
      </c>
      <c r="K302" s="6" t="n">
        <v>260</v>
      </c>
      <c r="L302" s="7" t="n">
        <f aca="false">K302*1.35582</f>
        <v>352.5132</v>
      </c>
      <c r="M302" s="6" t="n">
        <v>3106</v>
      </c>
      <c r="N302" s="7" t="n">
        <f aca="false">M302*0.453592</f>
        <v>1408.856752</v>
      </c>
      <c r="O302" s="3" t="s">
        <v>47</v>
      </c>
      <c r="P302" s="3" t="s">
        <v>27</v>
      </c>
      <c r="Q302" s="8" t="n">
        <f aca="false">J302/M302</f>
        <v>0.0885383129426916</v>
      </c>
      <c r="R302" s="8" t="n">
        <f aca="false">J302/N302</f>
        <v>0.195193726835331</v>
      </c>
      <c r="S302" s="4" t="s">
        <v>35</v>
      </c>
    </row>
    <row r="303" customFormat="false" ht="14.25" hidden="false" customHeight="true" outlineLevel="0" collapsed="false">
      <c r="A303" s="3" t="s">
        <v>159</v>
      </c>
      <c r="B303" s="4" t="s">
        <v>463</v>
      </c>
      <c r="C303" s="4" t="s">
        <v>464</v>
      </c>
      <c r="D303" s="4" t="s">
        <v>53</v>
      </c>
      <c r="E303" s="3" t="s">
        <v>109</v>
      </c>
      <c r="F303" s="3" t="n">
        <v>810</v>
      </c>
      <c r="G303" s="4" t="s">
        <v>110</v>
      </c>
      <c r="H303" s="5" t="n">
        <v>3200000</v>
      </c>
      <c r="I303" s="3" t="s">
        <v>66</v>
      </c>
      <c r="J303" s="6" t="n">
        <v>890</v>
      </c>
      <c r="K303" s="6" t="n">
        <v>738</v>
      </c>
      <c r="L303" s="7" t="n">
        <f aca="false">K303*1.35582</f>
        <v>1000.59516</v>
      </c>
      <c r="M303" s="6" t="n">
        <v>3750</v>
      </c>
      <c r="N303" s="7" t="n">
        <f aca="false">M303*0.453592</f>
        <v>1700.97</v>
      </c>
      <c r="O303" s="3" t="s">
        <v>62</v>
      </c>
      <c r="P303" s="3" t="s">
        <v>67</v>
      </c>
      <c r="Q303" s="8" t="n">
        <f aca="false">J303/M303</f>
        <v>0.237333333333333</v>
      </c>
      <c r="R303" s="8" t="n">
        <f aca="false">J303/N303</f>
        <v>0.523230862390283</v>
      </c>
      <c r="S303" s="4" t="s">
        <v>35</v>
      </c>
    </row>
    <row r="304" customFormat="false" ht="14.25" hidden="false" customHeight="true" outlineLevel="0" collapsed="false">
      <c r="A304" s="3" t="s">
        <v>465</v>
      </c>
      <c r="B304" s="4" t="s">
        <v>463</v>
      </c>
      <c r="C304" s="4" t="s">
        <v>466</v>
      </c>
      <c r="D304" s="4" t="s">
        <v>65</v>
      </c>
      <c r="E304" s="3" t="s">
        <v>39</v>
      </c>
      <c r="F304" s="3" t="n">
        <v>506</v>
      </c>
      <c r="G304" s="4" t="s">
        <v>110</v>
      </c>
      <c r="H304" s="5" t="n">
        <v>4300000</v>
      </c>
      <c r="I304" s="3" t="s">
        <v>66</v>
      </c>
      <c r="J304" s="6" t="n">
        <v>245</v>
      </c>
      <c r="K304" s="6" t="n">
        <v>242</v>
      </c>
      <c r="L304" s="7" t="n">
        <f aca="false">K304*1.35582</f>
        <v>328.10844</v>
      </c>
      <c r="M304" s="6" t="n">
        <v>2100</v>
      </c>
      <c r="N304" s="7" t="n">
        <f aca="false">M304*0.453592</f>
        <v>952.5432</v>
      </c>
      <c r="O304" s="3" t="s">
        <v>26</v>
      </c>
      <c r="P304" s="3" t="s">
        <v>27</v>
      </c>
      <c r="Q304" s="8" t="n">
        <f aca="false">J304/M304</f>
        <v>0.116666666666667</v>
      </c>
      <c r="R304" s="8" t="n">
        <f aca="false">J304/N304</f>
        <v>0.257206182354774</v>
      </c>
      <c r="S304" s="4" t="s">
        <v>35</v>
      </c>
    </row>
    <row r="305" customFormat="false" ht="14.25" hidden="false" customHeight="true" outlineLevel="0" collapsed="false">
      <c r="A305" s="3" t="s">
        <v>467</v>
      </c>
      <c r="B305" s="4" t="s">
        <v>463</v>
      </c>
      <c r="C305" s="4" t="s">
        <v>468</v>
      </c>
      <c r="D305" s="4" t="s">
        <v>82</v>
      </c>
      <c r="E305" s="3" t="s">
        <v>23</v>
      </c>
      <c r="F305" s="3" t="n">
        <v>414</v>
      </c>
      <c r="G305" s="4" t="s">
        <v>110</v>
      </c>
      <c r="H305" s="5"/>
      <c r="I305" s="3"/>
      <c r="J305" s="6" t="n">
        <v>265</v>
      </c>
      <c r="K305" s="6" t="n">
        <v>260</v>
      </c>
      <c r="L305" s="7" t="n">
        <f aca="false">K305*1.35582</f>
        <v>352.5132</v>
      </c>
      <c r="M305" s="6" t="n">
        <v>2900</v>
      </c>
      <c r="N305" s="7" t="n">
        <f aca="false">M305*0.453592</f>
        <v>1315.4168</v>
      </c>
      <c r="O305" s="3"/>
      <c r="P305" s="3"/>
      <c r="Q305" s="8" t="n">
        <f aca="false">J305/M305</f>
        <v>0.0913793103448276</v>
      </c>
      <c r="R305" s="8" t="n">
        <f aca="false">J305/N305</f>
        <v>0.201457059085759</v>
      </c>
      <c r="S305" s="4" t="s">
        <v>105</v>
      </c>
    </row>
    <row r="306" customFormat="false" ht="14.25" hidden="false" customHeight="true" outlineLevel="0" collapsed="false">
      <c r="A306" s="3" t="s">
        <v>116</v>
      </c>
      <c r="B306" s="4" t="s">
        <v>463</v>
      </c>
      <c r="C306" s="4" t="s">
        <v>469</v>
      </c>
      <c r="D306" s="4" t="s">
        <v>65</v>
      </c>
      <c r="E306" s="3" t="s">
        <v>39</v>
      </c>
      <c r="F306" s="3" t="n">
        <v>568</v>
      </c>
      <c r="G306" s="4" t="s">
        <v>110</v>
      </c>
      <c r="H306" s="5" t="n">
        <v>7900000</v>
      </c>
      <c r="I306" s="3" t="s">
        <v>66</v>
      </c>
      <c r="J306" s="6" t="n">
        <v>340</v>
      </c>
      <c r="K306" s="6" t="n">
        <v>314</v>
      </c>
      <c r="L306" s="7" t="n">
        <f aca="false">K306*1.35582</f>
        <v>425.72748</v>
      </c>
      <c r="M306" s="6" t="n">
        <v>2292</v>
      </c>
      <c r="N306" s="7" t="n">
        <f aca="false">M306*0.453592</f>
        <v>1039.632864</v>
      </c>
      <c r="O306" s="3" t="s">
        <v>26</v>
      </c>
      <c r="P306" s="3" t="s">
        <v>27</v>
      </c>
      <c r="Q306" s="8" t="n">
        <f aca="false">J306/M306</f>
        <v>0.148342059336824</v>
      </c>
      <c r="R306" s="8" t="n">
        <f aca="false">J306/N306</f>
        <v>0.327038526554313</v>
      </c>
      <c r="S306" s="4" t="s">
        <v>35</v>
      </c>
    </row>
    <row r="307" customFormat="false" ht="14.25" hidden="false" customHeight="true" outlineLevel="0" collapsed="false">
      <c r="A307" s="3" t="s">
        <v>413</v>
      </c>
      <c r="B307" s="4" t="s">
        <v>463</v>
      </c>
      <c r="C307" s="4" t="s">
        <v>470</v>
      </c>
      <c r="D307" s="4" t="s">
        <v>186</v>
      </c>
      <c r="E307" s="3" t="s">
        <v>54</v>
      </c>
      <c r="F307" s="3" t="n">
        <v>716</v>
      </c>
      <c r="G307" s="4" t="s">
        <v>110</v>
      </c>
      <c r="H307" s="5" t="n">
        <v>950000</v>
      </c>
      <c r="I307" s="3" t="s">
        <v>66</v>
      </c>
      <c r="J307" s="6" t="n">
        <v>450</v>
      </c>
      <c r="K307" s="6" t="n">
        <v>420</v>
      </c>
      <c r="L307" s="7" t="n">
        <f aca="false">K307*1.35582</f>
        <v>569.4444</v>
      </c>
      <c r="M307" s="6" t="n">
        <v>2315</v>
      </c>
      <c r="N307" s="7" t="n">
        <f aca="false">M307*0.453592</f>
        <v>1050.06548</v>
      </c>
      <c r="O307" s="3" t="s">
        <v>26</v>
      </c>
      <c r="P307" s="3" t="s">
        <v>67</v>
      </c>
      <c r="Q307" s="8" t="n">
        <f aca="false">J307/M307</f>
        <v>0.19438444924406</v>
      </c>
      <c r="R307" s="8" t="n">
        <f aca="false">J307/N307</f>
        <v>0.42854470370743</v>
      </c>
      <c r="S307" s="4" t="s">
        <v>99</v>
      </c>
    </row>
    <row r="308" customFormat="false" ht="14.25" hidden="false" customHeight="true" outlineLevel="0" collapsed="false">
      <c r="A308" s="3" t="s">
        <v>164</v>
      </c>
      <c r="B308" s="4" t="s">
        <v>463</v>
      </c>
      <c r="C308" s="4" t="s">
        <v>471</v>
      </c>
      <c r="D308" s="4" t="s">
        <v>186</v>
      </c>
      <c r="E308" s="3" t="s">
        <v>70</v>
      </c>
      <c r="F308" s="3" t="n">
        <v>676</v>
      </c>
      <c r="G308" s="4" t="s">
        <v>110</v>
      </c>
      <c r="H308" s="5" t="n">
        <v>570000</v>
      </c>
      <c r="I308" s="3" t="s">
        <v>66</v>
      </c>
      <c r="J308" s="6" t="n">
        <v>542</v>
      </c>
      <c r="K308" s="6" t="n">
        <v>473</v>
      </c>
      <c r="L308" s="7" t="n">
        <f aca="false">K308*1.35582</f>
        <v>641.30286</v>
      </c>
      <c r="M308" s="6" t="n">
        <v>3241</v>
      </c>
      <c r="N308" s="7" t="n">
        <f aca="false">M308*0.453592</f>
        <v>1470.091672</v>
      </c>
      <c r="O308" s="3" t="s">
        <v>26</v>
      </c>
      <c r="P308" s="3" t="s">
        <v>67</v>
      </c>
      <c r="Q308" s="8" t="n">
        <f aca="false">J308/M308</f>
        <v>0.167232335698858</v>
      </c>
      <c r="R308" s="8" t="n">
        <f aca="false">J308/N308</f>
        <v>0.368684491126075</v>
      </c>
      <c r="S308" s="4" t="s">
        <v>35</v>
      </c>
    </row>
    <row r="309" customFormat="false" ht="14.25" hidden="false" customHeight="true" outlineLevel="0" collapsed="false">
      <c r="A309" s="3" t="s">
        <v>164</v>
      </c>
      <c r="B309" s="4" t="s">
        <v>463</v>
      </c>
      <c r="C309" s="4" t="s">
        <v>472</v>
      </c>
      <c r="D309" s="4" t="s">
        <v>186</v>
      </c>
      <c r="E309" s="3" t="s">
        <v>54</v>
      </c>
      <c r="F309" s="3" t="n">
        <v>750</v>
      </c>
      <c r="G309" s="4" t="s">
        <v>110</v>
      </c>
      <c r="H309" s="5" t="n">
        <v>540000</v>
      </c>
      <c r="I309" s="3" t="s">
        <v>25</v>
      </c>
      <c r="J309" s="6" t="n">
        <v>680</v>
      </c>
      <c r="K309" s="6" t="n">
        <v>526</v>
      </c>
      <c r="L309" s="7" t="n">
        <f aca="false">K309*1.35582</f>
        <v>713.16132</v>
      </c>
      <c r="M309" s="6" t="n">
        <v>2379</v>
      </c>
      <c r="N309" s="7" t="n">
        <f aca="false">M309*0.453592</f>
        <v>1079.095368</v>
      </c>
      <c r="O309" s="3" t="s">
        <v>26</v>
      </c>
      <c r="P309" s="3" t="s">
        <v>67</v>
      </c>
      <c r="Q309" s="8" t="n">
        <f aca="false">J309/M309</f>
        <v>0.28583438419504</v>
      </c>
      <c r="R309" s="8" t="n">
        <f aca="false">J309/N309</f>
        <v>0.630157463524577</v>
      </c>
      <c r="S309" s="4" t="s">
        <v>35</v>
      </c>
    </row>
    <row r="310" customFormat="false" ht="14.25" hidden="false" customHeight="true" outlineLevel="0" collapsed="false">
      <c r="A310" s="3" t="s">
        <v>100</v>
      </c>
      <c r="B310" s="4" t="s">
        <v>473</v>
      </c>
      <c r="C310" s="4" t="s">
        <v>474</v>
      </c>
      <c r="D310" s="4" t="s">
        <v>124</v>
      </c>
      <c r="E310" s="3" t="s">
        <v>70</v>
      </c>
      <c r="F310" s="3" t="n">
        <v>631</v>
      </c>
      <c r="G310" s="4" t="s">
        <v>46</v>
      </c>
      <c r="H310" s="5" t="n">
        <v>72000</v>
      </c>
      <c r="I310" s="3" t="s">
        <v>33</v>
      </c>
      <c r="J310" s="6" t="n">
        <v>707</v>
      </c>
      <c r="K310" s="6" t="n">
        <v>645</v>
      </c>
      <c r="L310" s="7" t="n">
        <f aca="false">K310*1.35582</f>
        <v>874.5039</v>
      </c>
      <c r="M310" s="6" t="n">
        <v>5350</v>
      </c>
      <c r="N310" s="7" t="n">
        <f aca="false">M310*0.453592</f>
        <v>2426.7172</v>
      </c>
      <c r="O310" s="3" t="s">
        <v>62</v>
      </c>
      <c r="P310" s="3" t="s">
        <v>27</v>
      </c>
      <c r="Q310" s="8" t="n">
        <f aca="false">J310/M310</f>
        <v>0.13214953271028</v>
      </c>
      <c r="R310" s="8" t="n">
        <f aca="false">J310/N310</f>
        <v>0.291340086928959</v>
      </c>
      <c r="S310" s="4" t="s">
        <v>35</v>
      </c>
    </row>
    <row r="311" customFormat="false" ht="14.25" hidden="false" customHeight="true" outlineLevel="0" collapsed="false">
      <c r="A311" s="3" t="s">
        <v>141</v>
      </c>
      <c r="B311" s="4" t="s">
        <v>473</v>
      </c>
      <c r="C311" s="4" t="s">
        <v>475</v>
      </c>
      <c r="D311" s="4" t="s">
        <v>260</v>
      </c>
      <c r="E311" s="3" t="s">
        <v>32</v>
      </c>
      <c r="F311" s="3" t="n">
        <v>336</v>
      </c>
      <c r="G311" s="4" t="s">
        <v>46</v>
      </c>
      <c r="H311" s="5" t="n">
        <v>36000</v>
      </c>
      <c r="I311" s="3" t="s">
        <v>33</v>
      </c>
      <c r="J311" s="6" t="n">
        <v>285</v>
      </c>
      <c r="K311" s="6" t="n">
        <v>260</v>
      </c>
      <c r="L311" s="7" t="n">
        <f aca="false">K311*1.35582</f>
        <v>352.5132</v>
      </c>
      <c r="M311" s="6" t="n">
        <v>5073</v>
      </c>
      <c r="N311" s="7" t="n">
        <f aca="false">M311*0.453592</f>
        <v>2301.072216</v>
      </c>
      <c r="O311" s="3" t="s">
        <v>62</v>
      </c>
      <c r="P311" s="3" t="s">
        <v>27</v>
      </c>
      <c r="Q311" s="8" t="n">
        <f aca="false">J311/M311</f>
        <v>0.0561797752808989</v>
      </c>
      <c r="R311" s="8" t="n">
        <f aca="false">J311/N311</f>
        <v>0.123855304504707</v>
      </c>
      <c r="S311" s="4" t="s">
        <v>35</v>
      </c>
    </row>
    <row r="312" customFormat="false" ht="14.25" hidden="false" customHeight="true" outlineLevel="0" collapsed="false">
      <c r="A312" s="3" t="s">
        <v>36</v>
      </c>
      <c r="B312" s="4" t="s">
        <v>473</v>
      </c>
      <c r="C312" s="4" t="s">
        <v>476</v>
      </c>
      <c r="D312" s="4" t="s">
        <v>93</v>
      </c>
      <c r="E312" s="3" t="s">
        <v>70</v>
      </c>
      <c r="F312" s="3" t="n">
        <v>635</v>
      </c>
      <c r="G312" s="4" t="s">
        <v>46</v>
      </c>
      <c r="H312" s="5" t="n">
        <v>70000</v>
      </c>
      <c r="I312" s="3" t="s">
        <v>25</v>
      </c>
      <c r="J312" s="6" t="n">
        <v>707</v>
      </c>
      <c r="K312" s="6" t="n">
        <v>650</v>
      </c>
      <c r="L312" s="7" t="n">
        <f aca="false">K312*1.35582</f>
        <v>881.283</v>
      </c>
      <c r="M312" s="6" t="n">
        <v>4600</v>
      </c>
      <c r="N312" s="7" t="n">
        <f aca="false">M312*0.453592</f>
        <v>2086.5232</v>
      </c>
      <c r="O312" s="3" t="s">
        <v>62</v>
      </c>
      <c r="P312" s="3" t="s">
        <v>27</v>
      </c>
      <c r="Q312" s="8" t="n">
        <f aca="false">J312/M312</f>
        <v>0.153695652173913</v>
      </c>
      <c r="R312" s="8" t="n">
        <f aca="false">J312/N312</f>
        <v>0.338841188058681</v>
      </c>
      <c r="S312" s="4" t="s">
        <v>35</v>
      </c>
    </row>
    <row r="313" customFormat="false" ht="14.25" hidden="false" customHeight="true" outlineLevel="0" collapsed="false">
      <c r="A313" s="3" t="s">
        <v>203</v>
      </c>
      <c r="B313" s="4" t="s">
        <v>473</v>
      </c>
      <c r="C313" s="4" t="s">
        <v>477</v>
      </c>
      <c r="D313" s="4" t="s">
        <v>260</v>
      </c>
      <c r="E313" s="3" t="s">
        <v>32</v>
      </c>
      <c r="F313" s="3" t="n">
        <v>350</v>
      </c>
      <c r="G313" s="4" t="s">
        <v>46</v>
      </c>
      <c r="H313" s="5" t="n">
        <v>16000</v>
      </c>
      <c r="I313" s="3" t="s">
        <v>33</v>
      </c>
      <c r="J313" s="6" t="n">
        <v>285</v>
      </c>
      <c r="K313" s="6" t="n">
        <v>260</v>
      </c>
      <c r="L313" s="7" t="n">
        <f aca="false">K313*1.35582</f>
        <v>352.5132</v>
      </c>
      <c r="M313" s="6" t="n">
        <v>4132</v>
      </c>
      <c r="N313" s="7" t="n">
        <f aca="false">M313*0.453592</f>
        <v>1874.242144</v>
      </c>
      <c r="O313" s="3" t="s">
        <v>62</v>
      </c>
      <c r="P313" s="3" t="s">
        <v>27</v>
      </c>
      <c r="Q313" s="8" t="n">
        <f aca="false">J313/M313</f>
        <v>0.068973862536302</v>
      </c>
      <c r="R313" s="8" t="n">
        <f aca="false">J313/N313</f>
        <v>0.15206146170193</v>
      </c>
      <c r="S313" s="4" t="s">
        <v>35</v>
      </c>
    </row>
    <row r="314" customFormat="false" ht="14.25" hidden="false" customHeight="true" outlineLevel="0" collapsed="false">
      <c r="A314" s="3" t="s">
        <v>141</v>
      </c>
      <c r="B314" s="4" t="s">
        <v>478</v>
      </c>
      <c r="C314" s="4" t="s">
        <v>479</v>
      </c>
      <c r="D314" s="4" t="s">
        <v>91</v>
      </c>
      <c r="E314" s="3" t="s">
        <v>70</v>
      </c>
      <c r="F314" s="3" t="n">
        <v>652</v>
      </c>
      <c r="G314" s="4" t="s">
        <v>46</v>
      </c>
      <c r="H314" s="5" t="n">
        <v>95000</v>
      </c>
      <c r="I314" s="3" t="s">
        <v>25</v>
      </c>
      <c r="J314" s="6" t="n">
        <v>850</v>
      </c>
      <c r="K314" s="6" t="n">
        <v>800</v>
      </c>
      <c r="L314" s="7" t="n">
        <f aca="false">K314*1.35582</f>
        <v>1084.656</v>
      </c>
      <c r="M314" s="6" t="n">
        <v>3968</v>
      </c>
      <c r="N314" s="7" t="n">
        <f aca="false">M314*0.453592</f>
        <v>1799.853056</v>
      </c>
      <c r="O314" s="3" t="s">
        <v>26</v>
      </c>
      <c r="P314" s="3" t="s">
        <v>67</v>
      </c>
      <c r="Q314" s="8" t="n">
        <f aca="false">J314/M314</f>
        <v>0.214213709677419</v>
      </c>
      <c r="R314" s="8" t="n">
        <f aca="false">J314/N314</f>
        <v>0.472260775492997</v>
      </c>
      <c r="S314" s="4" t="s">
        <v>35</v>
      </c>
    </row>
    <row r="315" customFormat="false" ht="14.25" hidden="false" customHeight="true" outlineLevel="0" collapsed="false">
      <c r="A315" s="3" t="s">
        <v>121</v>
      </c>
      <c r="B315" s="4" t="s">
        <v>478</v>
      </c>
      <c r="C315" s="4" t="s">
        <v>480</v>
      </c>
      <c r="D315" s="4" t="s">
        <v>93</v>
      </c>
      <c r="E315" s="3" t="s">
        <v>39</v>
      </c>
      <c r="F315" s="3" t="n">
        <v>511</v>
      </c>
      <c r="G315" s="4" t="s">
        <v>46</v>
      </c>
      <c r="H315" s="5" t="n">
        <v>350000</v>
      </c>
      <c r="I315" s="3" t="s">
        <v>55</v>
      </c>
      <c r="J315" s="6" t="n">
        <v>495</v>
      </c>
      <c r="K315" s="6" t="n">
        <v>450</v>
      </c>
      <c r="L315" s="7" t="n">
        <f aca="false">K315*1.35582</f>
        <v>610.119</v>
      </c>
      <c r="M315" s="6" t="n">
        <v>5100</v>
      </c>
      <c r="N315" s="7" t="n">
        <f aca="false">M315*0.453592</f>
        <v>2313.3192</v>
      </c>
      <c r="O315" s="3" t="s">
        <v>26</v>
      </c>
      <c r="P315" s="3" t="s">
        <v>27</v>
      </c>
      <c r="Q315" s="8" t="n">
        <f aca="false">J315/M315</f>
        <v>0.0970588235294118</v>
      </c>
      <c r="R315" s="8" t="n">
        <f aca="false">J315/N315</f>
        <v>0.213978252547249</v>
      </c>
      <c r="S315" s="4" t="s">
        <v>35</v>
      </c>
    </row>
    <row r="316" customFormat="false" ht="14.25" hidden="false" customHeight="true" outlineLevel="0" collapsed="false">
      <c r="A316" s="3" t="s">
        <v>145</v>
      </c>
      <c r="B316" s="4" t="s">
        <v>481</v>
      </c>
      <c r="C316" s="4" t="s">
        <v>482</v>
      </c>
      <c r="D316" s="4" t="s">
        <v>126</v>
      </c>
      <c r="E316" s="3" t="s">
        <v>109</v>
      </c>
      <c r="F316" s="3" t="n">
        <v>810</v>
      </c>
      <c r="G316" s="4" t="s">
        <v>483</v>
      </c>
      <c r="H316" s="5" t="n">
        <v>1950000</v>
      </c>
      <c r="I316" s="3" t="s">
        <v>66</v>
      </c>
      <c r="J316" s="6" t="n">
        <v>999</v>
      </c>
      <c r="K316" s="6" t="n">
        <v>861</v>
      </c>
      <c r="L316" s="7" t="n">
        <f aca="false">K316*1.35582</f>
        <v>1167.36102</v>
      </c>
      <c r="M316" s="6" t="n">
        <v>3164</v>
      </c>
      <c r="N316" s="7" t="n">
        <f aca="false">M316*0.453592</f>
        <v>1435.165088</v>
      </c>
      <c r="O316" s="3" t="s">
        <v>26</v>
      </c>
      <c r="P316" s="3" t="s">
        <v>67</v>
      </c>
      <c r="Q316" s="8" t="n">
        <f aca="false">J316/M316</f>
        <v>0.315739570164349</v>
      </c>
      <c r="R316" s="8" t="n">
        <f aca="false">J316/N316</f>
        <v>0.696087166802653</v>
      </c>
      <c r="S316" s="4" t="s">
        <v>35</v>
      </c>
    </row>
    <row r="317" customFormat="false" ht="14.25" hidden="false" customHeight="true" outlineLevel="0" collapsed="false">
      <c r="A317" s="3" t="s">
        <v>19</v>
      </c>
      <c r="B317" s="4" t="s">
        <v>481</v>
      </c>
      <c r="C317" s="4" t="s">
        <v>484</v>
      </c>
      <c r="D317" s="4" t="s">
        <v>126</v>
      </c>
      <c r="E317" s="3" t="s">
        <v>109</v>
      </c>
      <c r="F317" s="3" t="n">
        <v>890</v>
      </c>
      <c r="G317" s="4" t="s">
        <v>483</v>
      </c>
      <c r="H317" s="5" t="n">
        <v>2900000</v>
      </c>
      <c r="I317" s="3" t="s">
        <v>66</v>
      </c>
      <c r="J317" s="6" t="n">
        <v>1341</v>
      </c>
      <c r="K317" s="6" t="n">
        <v>1010</v>
      </c>
      <c r="L317" s="7" t="n">
        <f aca="false">K317*1.35582</f>
        <v>1369.3782</v>
      </c>
      <c r="M317" s="6" t="n">
        <v>3075</v>
      </c>
      <c r="N317" s="7" t="n">
        <f aca="false">M317*0.453592</f>
        <v>1394.7954</v>
      </c>
      <c r="O317" s="3" t="s">
        <v>26</v>
      </c>
      <c r="P317" s="3" t="s">
        <v>67</v>
      </c>
      <c r="Q317" s="8" t="n">
        <f aca="false">J317/M317</f>
        <v>0.43609756097561</v>
      </c>
      <c r="R317" s="8" t="n">
        <f aca="false">J317/N317</f>
        <v>0.961431332509413</v>
      </c>
      <c r="S317" s="4" t="s">
        <v>99</v>
      </c>
    </row>
    <row r="318" customFormat="false" ht="14.25" hidden="false" customHeight="true" outlineLevel="0" collapsed="false">
      <c r="A318" s="3" t="s">
        <v>196</v>
      </c>
      <c r="B318" s="4" t="s">
        <v>481</v>
      </c>
      <c r="C318" s="4" t="s">
        <v>485</v>
      </c>
      <c r="D318" s="4" t="s">
        <v>103</v>
      </c>
      <c r="E318" s="3" t="s">
        <v>109</v>
      </c>
      <c r="F318" s="3" t="n">
        <v>900</v>
      </c>
      <c r="G318" s="4" t="s">
        <v>483</v>
      </c>
      <c r="H318" s="5" t="n">
        <v>3400000</v>
      </c>
      <c r="I318" s="3" t="s">
        <v>66</v>
      </c>
      <c r="J318" s="6" t="n">
        <v>610</v>
      </c>
      <c r="K318" s="6" t="n">
        <v>442</v>
      </c>
      <c r="L318" s="7" t="n">
        <f aca="false">K318*1.35582</f>
        <v>599.27244</v>
      </c>
      <c r="M318" s="6" t="n">
        <v>2425</v>
      </c>
      <c r="N318" s="7" t="n">
        <f aca="false">M318*0.453592</f>
        <v>1099.9606</v>
      </c>
      <c r="O318" s="3" t="s">
        <v>26</v>
      </c>
      <c r="P318" s="3" t="s">
        <v>67</v>
      </c>
      <c r="Q318" s="8" t="n">
        <f aca="false">J318/M318</f>
        <v>0.251546391752577</v>
      </c>
      <c r="R318" s="8" t="n">
        <f aca="false">J318/N318</f>
        <v>0.554565318066847</v>
      </c>
      <c r="S318" s="4" t="s">
        <v>35</v>
      </c>
    </row>
    <row r="319" customFormat="false" ht="14.25" hidden="false" customHeight="true" outlineLevel="0" collapsed="false">
      <c r="A319" s="3" t="s">
        <v>207</v>
      </c>
      <c r="B319" s="4" t="s">
        <v>481</v>
      </c>
      <c r="C319" s="4" t="s">
        <v>486</v>
      </c>
      <c r="D319" s="4" t="s">
        <v>126</v>
      </c>
      <c r="E319" s="3" t="s">
        <v>109</v>
      </c>
      <c r="F319" s="3" t="n">
        <v>900</v>
      </c>
      <c r="G319" s="4" t="s">
        <v>483</v>
      </c>
      <c r="H319" s="5" t="n">
        <v>2000000</v>
      </c>
      <c r="I319" s="3" t="s">
        <v>55</v>
      </c>
      <c r="J319" s="6" t="n">
        <v>1451</v>
      </c>
      <c r="K319" s="6" t="n">
        <v>1279</v>
      </c>
      <c r="L319" s="7" t="n">
        <f aca="false">K319*1.35582</f>
        <v>1734.09378</v>
      </c>
      <c r="M319" s="6" t="n">
        <v>4499</v>
      </c>
      <c r="N319" s="7" t="n">
        <f aca="false">M319*0.453592</f>
        <v>2040.710408</v>
      </c>
      <c r="O319" s="3" t="s">
        <v>62</v>
      </c>
      <c r="P319" s="3" t="s">
        <v>67</v>
      </c>
      <c r="Q319" s="8" t="n">
        <f aca="false">J319/M319</f>
        <v>0.322516114692154</v>
      </c>
      <c r="R319" s="8" t="n">
        <f aca="false">J319/N319</f>
        <v>0.711026902353114</v>
      </c>
      <c r="S319" s="4" t="s">
        <v>75</v>
      </c>
    </row>
    <row r="320" customFormat="false" ht="14.25" hidden="false" customHeight="true" outlineLevel="0" collapsed="false">
      <c r="A320" s="3" t="s">
        <v>141</v>
      </c>
      <c r="B320" s="4" t="s">
        <v>481</v>
      </c>
      <c r="C320" s="4" t="s">
        <v>487</v>
      </c>
      <c r="D320" s="4" t="s">
        <v>126</v>
      </c>
      <c r="E320" s="3" t="s">
        <v>109</v>
      </c>
      <c r="F320" s="3" t="n">
        <v>899</v>
      </c>
      <c r="G320" s="4" t="s">
        <v>483</v>
      </c>
      <c r="H320" s="5" t="n">
        <v>3500000</v>
      </c>
      <c r="I320" s="3" t="s">
        <v>66</v>
      </c>
      <c r="J320" s="6" t="n">
        <v>1602</v>
      </c>
      <c r="K320" s="6" t="n">
        <v>1105</v>
      </c>
      <c r="L320" s="7" t="n">
        <f aca="false">K320*1.35582</f>
        <v>1498.1811</v>
      </c>
      <c r="M320" s="6" t="n">
        <v>3131</v>
      </c>
      <c r="N320" s="7" t="n">
        <f aca="false">M320*0.453592</f>
        <v>1420.196552</v>
      </c>
      <c r="O320" s="3" t="s">
        <v>26</v>
      </c>
      <c r="P320" s="3" t="s">
        <v>67</v>
      </c>
      <c r="Q320" s="8" t="n">
        <f aca="false">J320/M320</f>
        <v>0.511657617374641</v>
      </c>
      <c r="R320" s="8" t="n">
        <f aca="false">J320/N320</f>
        <v>1.12801287803718</v>
      </c>
      <c r="S320" s="4" t="s">
        <v>35</v>
      </c>
    </row>
    <row r="321" customFormat="false" ht="14.25" hidden="false" customHeight="true" outlineLevel="0" collapsed="false">
      <c r="A321" s="3" t="s">
        <v>94</v>
      </c>
      <c r="B321" s="4" t="s">
        <v>481</v>
      </c>
      <c r="C321" s="4" t="s">
        <v>488</v>
      </c>
      <c r="D321" s="4" t="s">
        <v>126</v>
      </c>
      <c r="E321" s="3" t="s">
        <v>109</v>
      </c>
      <c r="F321" s="3" t="n">
        <v>890</v>
      </c>
      <c r="G321" s="4" t="s">
        <v>483</v>
      </c>
      <c r="H321" s="5"/>
      <c r="I321" s="3"/>
      <c r="J321" s="6" t="n">
        <v>1341</v>
      </c>
      <c r="K321" s="6" t="n">
        <v>1010</v>
      </c>
      <c r="L321" s="7" t="n">
        <f aca="false">K321*1.35582</f>
        <v>1369.3782</v>
      </c>
      <c r="M321" s="6" t="n">
        <v>2998</v>
      </c>
      <c r="N321" s="7" t="n">
        <f aca="false">M321*0.453592</f>
        <v>1359.868816</v>
      </c>
      <c r="O321" s="3"/>
      <c r="P321" s="3"/>
      <c r="Q321" s="8" t="n">
        <f aca="false">J321/M321</f>
        <v>0.447298198799199</v>
      </c>
      <c r="R321" s="8" t="n">
        <f aca="false">J321/N321</f>
        <v>0.986124532176933</v>
      </c>
      <c r="S321" s="4" t="s">
        <v>105</v>
      </c>
    </row>
    <row r="322" customFormat="false" ht="14.25" hidden="false" customHeight="true" outlineLevel="0" collapsed="false">
      <c r="A322" s="3" t="s">
        <v>36</v>
      </c>
      <c r="B322" s="4" t="s">
        <v>481</v>
      </c>
      <c r="C322" s="4" t="s">
        <v>489</v>
      </c>
      <c r="D322" s="4" t="s">
        <v>126</v>
      </c>
      <c r="E322" s="3" t="s">
        <v>109</v>
      </c>
      <c r="F322" s="3" t="n">
        <v>886</v>
      </c>
      <c r="G322" s="4" t="s">
        <v>483</v>
      </c>
      <c r="H322" s="5" t="n">
        <v>2550000</v>
      </c>
      <c r="I322" s="3" t="s">
        <v>66</v>
      </c>
      <c r="J322" s="6" t="n">
        <v>1500</v>
      </c>
      <c r="K322" s="6" t="n">
        <v>1474</v>
      </c>
      <c r="L322" s="7" t="n">
        <f aca="false">K322*1.35582</f>
        <v>1998.47868</v>
      </c>
      <c r="M322" s="6" t="n">
        <v>3589</v>
      </c>
      <c r="N322" s="7" t="n">
        <f aca="false">M322*0.453592</f>
        <v>1627.941688</v>
      </c>
      <c r="O322" s="3" t="s">
        <v>26</v>
      </c>
      <c r="P322" s="3" t="s">
        <v>67</v>
      </c>
      <c r="Q322" s="8" t="n">
        <f aca="false">J322/M322</f>
        <v>0.417943716912789</v>
      </c>
      <c r="R322" s="8" t="n">
        <f aca="false">J322/N322</f>
        <v>0.921408924568311</v>
      </c>
      <c r="S322" s="4" t="s">
        <v>63</v>
      </c>
    </row>
    <row r="323" customFormat="false" ht="14.25" hidden="false" customHeight="true" outlineLevel="0" collapsed="false">
      <c r="A323" s="3" t="s">
        <v>100</v>
      </c>
      <c r="B323" s="4" t="s">
        <v>490</v>
      </c>
      <c r="C323" s="4" t="s">
        <v>491</v>
      </c>
      <c r="D323" s="4" t="s">
        <v>103</v>
      </c>
      <c r="E323" s="3" t="s">
        <v>54</v>
      </c>
      <c r="F323" s="3" t="n">
        <v>749</v>
      </c>
      <c r="G323" s="4" t="s">
        <v>492</v>
      </c>
      <c r="H323" s="5" t="n">
        <v>90000</v>
      </c>
      <c r="I323" s="3" t="s">
        <v>55</v>
      </c>
      <c r="J323" s="6" t="n">
        <v>326</v>
      </c>
      <c r="K323" s="6" t="n">
        <v>295</v>
      </c>
      <c r="L323" s="7" t="n">
        <f aca="false">K323*1.35582</f>
        <v>399.9669</v>
      </c>
      <c r="M323" s="6" t="n">
        <v>2352</v>
      </c>
      <c r="N323" s="7" t="n">
        <f aca="false">M323*0.453592</f>
        <v>1066.848384</v>
      </c>
      <c r="O323" s="3" t="s">
        <v>26</v>
      </c>
      <c r="P323" s="3" t="s">
        <v>67</v>
      </c>
      <c r="Q323" s="8" t="n">
        <f aca="false">J323/M323</f>
        <v>0.138605442176871</v>
      </c>
      <c r="R323" s="8" t="n">
        <f aca="false">J323/N323</f>
        <v>0.3055729425935</v>
      </c>
      <c r="S323" s="4" t="s">
        <v>35</v>
      </c>
    </row>
    <row r="324" customFormat="false" ht="14.25" hidden="false" customHeight="true" outlineLevel="0" collapsed="false">
      <c r="A324" s="3" t="s">
        <v>51</v>
      </c>
      <c r="B324" s="4" t="s">
        <v>493</v>
      </c>
      <c r="C324" s="4" t="s">
        <v>494</v>
      </c>
      <c r="D324" s="4" t="s">
        <v>126</v>
      </c>
      <c r="E324" s="3" t="s">
        <v>54</v>
      </c>
      <c r="F324" s="3" t="n">
        <v>794</v>
      </c>
      <c r="G324" s="4" t="s">
        <v>24</v>
      </c>
      <c r="H324" s="5" t="n">
        <v>800000</v>
      </c>
      <c r="I324" s="3" t="s">
        <v>66</v>
      </c>
      <c r="J324" s="6" t="n">
        <v>770</v>
      </c>
      <c r="K324" s="6" t="n">
        <v>531</v>
      </c>
      <c r="L324" s="7" t="n">
        <f aca="false">K324*1.35582</f>
        <v>719.94042</v>
      </c>
      <c r="M324" s="6" t="n">
        <v>3858</v>
      </c>
      <c r="N324" s="7" t="n">
        <f aca="false">M324*0.453592</f>
        <v>1749.957936</v>
      </c>
      <c r="O324" s="3"/>
      <c r="P324" s="3"/>
      <c r="Q324" s="8" t="n">
        <f aca="false">J324/M324</f>
        <v>0.199585277345775</v>
      </c>
      <c r="R324" s="8" t="n">
        <f aca="false">J324/N324</f>
        <v>0.440010576345648</v>
      </c>
      <c r="S324" s="4" t="s">
        <v>28</v>
      </c>
    </row>
    <row r="325" customFormat="false" ht="14.25" hidden="false" customHeight="true" outlineLevel="0" collapsed="false">
      <c r="A325" s="3" t="s">
        <v>203</v>
      </c>
      <c r="B325" s="4" t="s">
        <v>493</v>
      </c>
      <c r="C325" s="4" t="s">
        <v>495</v>
      </c>
      <c r="D325" s="4" t="s">
        <v>126</v>
      </c>
      <c r="E325" s="3" t="s">
        <v>54</v>
      </c>
      <c r="F325" s="3" t="n">
        <v>753</v>
      </c>
      <c r="G325" s="4" t="s">
        <v>24</v>
      </c>
      <c r="H325" s="5"/>
      <c r="I325" s="3"/>
      <c r="J325" s="6" t="n">
        <v>700</v>
      </c>
      <c r="K325" s="6" t="n">
        <v>509</v>
      </c>
      <c r="L325" s="7" t="n">
        <f aca="false">K325*1.35582</f>
        <v>690.11238</v>
      </c>
      <c r="M325" s="6" t="n">
        <v>3816</v>
      </c>
      <c r="N325" s="7" t="n">
        <f aca="false">M325*0.453592</f>
        <v>1730.907072</v>
      </c>
      <c r="O325" s="3"/>
      <c r="P325" s="3"/>
      <c r="Q325" s="8" t="n">
        <f aca="false">J325/M325</f>
        <v>0.183438155136268</v>
      </c>
      <c r="R325" s="8" t="n">
        <f aca="false">J325/N325</f>
        <v>0.404412236406877</v>
      </c>
      <c r="S325" s="4" t="s">
        <v>105</v>
      </c>
    </row>
    <row r="326" customFormat="false" ht="14.25" hidden="false" customHeight="true" outlineLevel="0" collapsed="false">
      <c r="A326" s="3" t="s">
        <v>121</v>
      </c>
      <c r="B326" s="4" t="s">
        <v>493</v>
      </c>
      <c r="C326" s="4" t="s">
        <v>496</v>
      </c>
      <c r="D326" s="4" t="s">
        <v>126</v>
      </c>
      <c r="E326" s="3" t="s">
        <v>54</v>
      </c>
      <c r="F326" s="3" t="n">
        <v>794</v>
      </c>
      <c r="G326" s="4" t="s">
        <v>24</v>
      </c>
      <c r="H326" s="5" t="n">
        <v>1200000</v>
      </c>
      <c r="I326" s="3" t="s">
        <v>66</v>
      </c>
      <c r="J326" s="6" t="n">
        <v>759</v>
      </c>
      <c r="K326" s="6" t="n">
        <v>531</v>
      </c>
      <c r="L326" s="7" t="n">
        <f aca="false">K326*1.35582</f>
        <v>719.94042</v>
      </c>
      <c r="M326" s="6" t="n">
        <v>3607</v>
      </c>
      <c r="N326" s="7" t="n">
        <f aca="false">M326*0.453592</f>
        <v>1636.106344</v>
      </c>
      <c r="O326" s="3" t="s">
        <v>62</v>
      </c>
      <c r="P326" s="3" t="s">
        <v>67</v>
      </c>
      <c r="Q326" s="8" t="n">
        <f aca="false">J326/M326</f>
        <v>0.21042417521486</v>
      </c>
      <c r="R326" s="8" t="n">
        <f aca="false">J326/N326</f>
        <v>0.46390627527571</v>
      </c>
      <c r="S326" s="4" t="s">
        <v>35</v>
      </c>
    </row>
    <row r="327" customFormat="false" ht="14.25" hidden="false" customHeight="true" outlineLevel="0" collapsed="false">
      <c r="A327" s="3" t="s">
        <v>36</v>
      </c>
      <c r="B327" s="4" t="s">
        <v>493</v>
      </c>
      <c r="C327" s="4" t="s">
        <v>497</v>
      </c>
      <c r="D327" s="4" t="s">
        <v>126</v>
      </c>
      <c r="E327" s="3" t="s">
        <v>54</v>
      </c>
      <c r="F327" s="3" t="n">
        <v>792</v>
      </c>
      <c r="G327" s="4" t="s">
        <v>24</v>
      </c>
      <c r="H327" s="5" t="n">
        <v>150000</v>
      </c>
      <c r="I327" s="3" t="s">
        <v>66</v>
      </c>
      <c r="J327" s="6" t="n">
        <v>759</v>
      </c>
      <c r="K327" s="6" t="n">
        <v>508</v>
      </c>
      <c r="L327" s="7" t="n">
        <f aca="false">K327*1.35582</f>
        <v>688.75656</v>
      </c>
      <c r="M327" s="6" t="n">
        <v>3693</v>
      </c>
      <c r="N327" s="7" t="n">
        <f aca="false">M327*0.453592</f>
        <v>1675.115256</v>
      </c>
      <c r="O327" s="3" t="s">
        <v>62</v>
      </c>
      <c r="P327" s="3" t="s">
        <v>67</v>
      </c>
      <c r="Q327" s="8" t="n">
        <f aca="false">J327/M327</f>
        <v>0.205523964256702</v>
      </c>
      <c r="R327" s="8" t="n">
        <f aca="false">J327/N327</f>
        <v>0.453103150533303</v>
      </c>
      <c r="S327" s="4" t="s">
        <v>131</v>
      </c>
    </row>
    <row r="328" customFormat="false" ht="14.25" hidden="false" customHeight="true" outlineLevel="0" collapsed="false">
      <c r="A328" s="3" t="s">
        <v>192</v>
      </c>
      <c r="B328" s="4" t="s">
        <v>493</v>
      </c>
      <c r="C328" s="4" t="s">
        <v>498</v>
      </c>
      <c r="D328" s="4" t="s">
        <v>186</v>
      </c>
      <c r="E328" s="3" t="s">
        <v>70</v>
      </c>
      <c r="F328" s="3" t="n">
        <v>622</v>
      </c>
      <c r="G328" s="4" t="s">
        <v>24</v>
      </c>
      <c r="H328" s="5" t="n">
        <v>600000</v>
      </c>
      <c r="I328" s="3" t="s">
        <v>55</v>
      </c>
      <c r="J328" s="6" t="n">
        <v>455</v>
      </c>
      <c r="K328" s="6" t="n">
        <v>369</v>
      </c>
      <c r="L328" s="7" t="n">
        <f aca="false">K328*1.35582</f>
        <v>500.29758</v>
      </c>
      <c r="M328" s="6" t="n">
        <v>3284</v>
      </c>
      <c r="N328" s="7" t="n">
        <f aca="false">M328*0.453592</f>
        <v>1489.596128</v>
      </c>
      <c r="O328" s="3"/>
      <c r="P328" s="3"/>
      <c r="Q328" s="8" t="n">
        <f aca="false">J328/M328</f>
        <v>0.138550548112058</v>
      </c>
      <c r="R328" s="8" t="n">
        <f aca="false">J328/N328</f>
        <v>0.305451921797692</v>
      </c>
      <c r="S328" s="4" t="s">
        <v>28</v>
      </c>
    </row>
    <row r="329" customFormat="false" ht="14.25" hidden="false" customHeight="true" outlineLevel="0" collapsed="false">
      <c r="A329" s="3" t="s">
        <v>76</v>
      </c>
      <c r="B329" s="4" t="s">
        <v>493</v>
      </c>
      <c r="C329" s="4" t="s">
        <v>499</v>
      </c>
      <c r="D329" s="4" t="s">
        <v>126</v>
      </c>
      <c r="E329" s="3" t="s">
        <v>54</v>
      </c>
      <c r="F329" s="3" t="n">
        <v>773</v>
      </c>
      <c r="G329" s="4" t="s">
        <v>24</v>
      </c>
      <c r="H329" s="5" t="n">
        <v>2100000</v>
      </c>
      <c r="I329" s="3" t="s">
        <v>66</v>
      </c>
      <c r="J329" s="6" t="n">
        <v>808</v>
      </c>
      <c r="K329" s="6" t="n">
        <v>556</v>
      </c>
      <c r="L329" s="7" t="n">
        <f aca="false">K329*1.35582</f>
        <v>753.83592</v>
      </c>
      <c r="M329" s="6" t="n">
        <v>4116</v>
      </c>
      <c r="N329" s="7" t="n">
        <f aca="false">M329*0.453592</f>
        <v>1866.984672</v>
      </c>
      <c r="O329" s="3" t="s">
        <v>62</v>
      </c>
      <c r="P329" s="3" t="s">
        <v>67</v>
      </c>
      <c r="Q329" s="8" t="n">
        <f aca="false">J329/M329</f>
        <v>0.196307094266278</v>
      </c>
      <c r="R329" s="8" t="n">
        <f aca="false">J329/N329</f>
        <v>0.432783413874755</v>
      </c>
      <c r="S329" s="4" t="s">
        <v>35</v>
      </c>
    </row>
    <row r="330" customFormat="false" ht="14.25" hidden="false" customHeight="true" outlineLevel="0" collapsed="false">
      <c r="A330" s="3" t="s">
        <v>293</v>
      </c>
      <c r="B330" s="4" t="s">
        <v>493</v>
      </c>
      <c r="C330" s="4" t="s">
        <v>500</v>
      </c>
      <c r="D330" s="4" t="s">
        <v>103</v>
      </c>
      <c r="E330" s="3" t="s">
        <v>109</v>
      </c>
      <c r="F330" s="3" t="n">
        <v>823</v>
      </c>
      <c r="G330" s="4" t="s">
        <v>24</v>
      </c>
      <c r="H330" s="5" t="n">
        <v>680000</v>
      </c>
      <c r="I330" s="3" t="s">
        <v>55</v>
      </c>
      <c r="J330" s="6" t="n">
        <v>590</v>
      </c>
      <c r="K330" s="6" t="n">
        <v>472</v>
      </c>
      <c r="L330" s="7" t="n">
        <f aca="false">K330*1.35582</f>
        <v>639.94704</v>
      </c>
      <c r="M330" s="6" t="n">
        <v>3086</v>
      </c>
      <c r="N330" s="7" t="n">
        <f aca="false">M330*0.453592</f>
        <v>1399.784912</v>
      </c>
      <c r="O330" s="3"/>
      <c r="P330" s="3"/>
      <c r="Q330" s="8" t="n">
        <f aca="false">J330/M330</f>
        <v>0.191186001296176</v>
      </c>
      <c r="R330" s="8" t="n">
        <f aca="false">J330/N330</f>
        <v>0.421493327254838</v>
      </c>
      <c r="S330" s="4" t="s">
        <v>105</v>
      </c>
    </row>
    <row r="331" customFormat="false" ht="14.25" hidden="false" customHeight="true" outlineLevel="0" collapsed="false">
      <c r="A331" s="3" t="s">
        <v>194</v>
      </c>
      <c r="B331" s="4" t="s">
        <v>493</v>
      </c>
      <c r="C331" s="4" t="s">
        <v>501</v>
      </c>
      <c r="D331" s="4" t="s">
        <v>186</v>
      </c>
      <c r="E331" s="3" t="s">
        <v>70</v>
      </c>
      <c r="F331" s="3" t="n">
        <v>649</v>
      </c>
      <c r="G331" s="4" t="s">
        <v>24</v>
      </c>
      <c r="H331" s="5" t="n">
        <v>375000</v>
      </c>
      <c r="I331" s="3" t="s">
        <v>447</v>
      </c>
      <c r="J331" s="6" t="n">
        <v>530</v>
      </c>
      <c r="K331" s="6" t="n">
        <v>446</v>
      </c>
      <c r="L331" s="7" t="n">
        <f aca="false">K331*1.35582</f>
        <v>604.69572</v>
      </c>
      <c r="M331" s="6" t="n">
        <v>3474</v>
      </c>
      <c r="N331" s="7" t="n">
        <f aca="false">M331*0.453592</f>
        <v>1575.778608</v>
      </c>
      <c r="O331" s="3"/>
      <c r="P331" s="3"/>
      <c r="Q331" s="8" t="n">
        <f aca="false">J331/M331</f>
        <v>0.152561888313184</v>
      </c>
      <c r="R331" s="8" t="n">
        <f aca="false">J331/N331</f>
        <v>0.336341664564595</v>
      </c>
      <c r="S331" s="4" t="s">
        <v>188</v>
      </c>
    </row>
    <row r="332" customFormat="false" ht="14.25" hidden="false" customHeight="true" outlineLevel="0" collapsed="false">
      <c r="A332" s="3" t="s">
        <v>141</v>
      </c>
      <c r="B332" s="4" t="s">
        <v>493</v>
      </c>
      <c r="C332" s="4" t="s">
        <v>502</v>
      </c>
      <c r="D332" s="4" t="s">
        <v>103</v>
      </c>
      <c r="E332" s="3" t="s">
        <v>88</v>
      </c>
      <c r="F332" s="3" t="n">
        <v>911</v>
      </c>
      <c r="G332" s="4" t="s">
        <v>24</v>
      </c>
      <c r="H332" s="5" t="n">
        <v>1500000</v>
      </c>
      <c r="I332" s="3" t="s">
        <v>66</v>
      </c>
      <c r="J332" s="6" t="n">
        <v>818</v>
      </c>
      <c r="K332" s="6" t="n">
        <v>590</v>
      </c>
      <c r="L332" s="7" t="n">
        <f aca="false">K332*1.35582</f>
        <v>799.9338</v>
      </c>
      <c r="M332" s="6" t="n">
        <v>3190</v>
      </c>
      <c r="N332" s="7" t="n">
        <f aca="false">M332*0.453592</f>
        <v>1446.95848</v>
      </c>
      <c r="O332" s="3" t="s">
        <v>26</v>
      </c>
      <c r="P332" s="3" t="s">
        <v>67</v>
      </c>
      <c r="Q332" s="8" t="n">
        <f aca="false">J332/M332</f>
        <v>0.256426332288401</v>
      </c>
      <c r="R332" s="8" t="n">
        <f aca="false">J332/N332</f>
        <v>0.565323754141169</v>
      </c>
      <c r="S332" s="4" t="s">
        <v>35</v>
      </c>
    </row>
    <row r="333" customFormat="false" ht="14.25" hidden="false" customHeight="true" outlineLevel="0" collapsed="false">
      <c r="A333" s="3" t="s">
        <v>203</v>
      </c>
      <c r="B333" s="4" t="s">
        <v>493</v>
      </c>
      <c r="C333" s="4" t="s">
        <v>503</v>
      </c>
      <c r="D333" s="4" t="s">
        <v>53</v>
      </c>
      <c r="E333" s="3" t="s">
        <v>70</v>
      </c>
      <c r="F333" s="3" t="n">
        <v>685</v>
      </c>
      <c r="G333" s="4" t="s">
        <v>24</v>
      </c>
      <c r="H333" s="5" t="n">
        <v>210000</v>
      </c>
      <c r="I333" s="3" t="s">
        <v>55</v>
      </c>
      <c r="J333" s="6" t="n">
        <v>562</v>
      </c>
      <c r="K333" s="6" t="n">
        <v>398</v>
      </c>
      <c r="L333" s="7" t="n">
        <f aca="false">K333*1.35582</f>
        <v>539.61636</v>
      </c>
      <c r="M333" s="6" t="n">
        <v>3618</v>
      </c>
      <c r="N333" s="7" t="n">
        <f aca="false">M333*0.453592</f>
        <v>1641.095856</v>
      </c>
      <c r="O333" s="3" t="s">
        <v>62</v>
      </c>
      <c r="P333" s="3" t="s">
        <v>67</v>
      </c>
      <c r="Q333" s="8" t="n">
        <f aca="false">J333/M333</f>
        <v>0.155334438916528</v>
      </c>
      <c r="R333" s="8" t="n">
        <f aca="false">J333/N333</f>
        <v>0.342454097330924</v>
      </c>
      <c r="S333" s="4" t="s">
        <v>35</v>
      </c>
    </row>
    <row r="334" customFormat="false" ht="14.25" hidden="false" customHeight="true" outlineLevel="0" collapsed="false">
      <c r="A334" s="3" t="s">
        <v>141</v>
      </c>
      <c r="B334" s="4" t="s">
        <v>493</v>
      </c>
      <c r="C334" s="4" t="s">
        <v>504</v>
      </c>
      <c r="D334" s="4" t="s">
        <v>53</v>
      </c>
      <c r="E334" s="3" t="s">
        <v>54</v>
      </c>
      <c r="F334" s="3" t="n">
        <v>761</v>
      </c>
      <c r="G334" s="4" t="s">
        <v>24</v>
      </c>
      <c r="H334" s="5" t="n">
        <v>250000</v>
      </c>
      <c r="I334" s="3" t="s">
        <v>55</v>
      </c>
      <c r="J334" s="6" t="n">
        <v>630</v>
      </c>
      <c r="K334" s="6" t="n">
        <v>442</v>
      </c>
      <c r="L334" s="7" t="n">
        <f aca="false">K334*1.35582</f>
        <v>599.27244</v>
      </c>
      <c r="M334" s="6" t="n">
        <v>3422</v>
      </c>
      <c r="N334" s="7" t="n">
        <f aca="false">M334*0.453592</f>
        <v>1552.191824</v>
      </c>
      <c r="O334" s="3"/>
      <c r="P334" s="3"/>
      <c r="Q334" s="8" t="n">
        <f aca="false">J334/M334</f>
        <v>0.184102863822326</v>
      </c>
      <c r="R334" s="8" t="n">
        <f aca="false">J334/N334</f>
        <v>0.405877669408469</v>
      </c>
      <c r="S334" s="4" t="s">
        <v>28</v>
      </c>
    </row>
    <row r="335" customFormat="false" ht="14.25" hidden="false" customHeight="true" outlineLevel="0" collapsed="false">
      <c r="A335" s="3" t="s">
        <v>51</v>
      </c>
      <c r="B335" s="4" t="s">
        <v>493</v>
      </c>
      <c r="C335" s="4" t="s">
        <v>505</v>
      </c>
      <c r="D335" s="4" t="s">
        <v>53</v>
      </c>
      <c r="E335" s="3" t="s">
        <v>54</v>
      </c>
      <c r="F335" s="3" t="n">
        <v>757</v>
      </c>
      <c r="G335" s="4" t="s">
        <v>24</v>
      </c>
      <c r="H335" s="5" t="n">
        <v>325000</v>
      </c>
      <c r="I335" s="3" t="s">
        <v>25</v>
      </c>
      <c r="J335" s="6" t="n">
        <v>630</v>
      </c>
      <c r="K335" s="6" t="n">
        <v>442</v>
      </c>
      <c r="L335" s="7" t="n">
        <f aca="false">K335*1.35582</f>
        <v>599.27244</v>
      </c>
      <c r="M335" s="6" t="n">
        <v>3935</v>
      </c>
      <c r="N335" s="7" t="n">
        <f aca="false">M335*0.453592</f>
        <v>1784.88452</v>
      </c>
      <c r="O335" s="3"/>
      <c r="P335" s="3"/>
      <c r="Q335" s="8" t="n">
        <f aca="false">J335/M335</f>
        <v>0.16010165184244</v>
      </c>
      <c r="R335" s="8" t="n">
        <f aca="false">J335/N335</f>
        <v>0.352964011363604</v>
      </c>
      <c r="S335" s="4" t="s">
        <v>28</v>
      </c>
    </row>
    <row r="336" customFormat="false" ht="14.25" hidden="false" customHeight="true" outlineLevel="0" collapsed="false">
      <c r="A336" s="3" t="s">
        <v>94</v>
      </c>
      <c r="B336" s="4" t="s">
        <v>493</v>
      </c>
      <c r="C336" s="4" t="s">
        <v>506</v>
      </c>
      <c r="D336" s="4" t="s">
        <v>53</v>
      </c>
      <c r="E336" s="3" t="s">
        <v>54</v>
      </c>
      <c r="F336" s="3" t="n">
        <v>738</v>
      </c>
      <c r="G336" s="4" t="s">
        <v>24</v>
      </c>
      <c r="H336" s="5" t="n">
        <v>200000</v>
      </c>
      <c r="I336" s="3" t="s">
        <v>55</v>
      </c>
      <c r="J336" s="6" t="n">
        <v>602</v>
      </c>
      <c r="K336" s="6" t="n">
        <v>413</v>
      </c>
      <c r="L336" s="7" t="n">
        <f aca="false">K336*1.35582</f>
        <v>559.95366</v>
      </c>
      <c r="M336" s="6" t="n">
        <v>3422</v>
      </c>
      <c r="N336" s="7" t="n">
        <f aca="false">M336*0.453592</f>
        <v>1552.191824</v>
      </c>
      <c r="O336" s="3" t="s">
        <v>62</v>
      </c>
      <c r="P336" s="3" t="s">
        <v>67</v>
      </c>
      <c r="Q336" s="8" t="n">
        <f aca="false">J336/M336</f>
        <v>0.175920514319112</v>
      </c>
      <c r="R336" s="8" t="n">
        <f aca="false">J336/N336</f>
        <v>0.387838661879203</v>
      </c>
      <c r="S336" s="4" t="s">
        <v>131</v>
      </c>
    </row>
    <row r="337" customFormat="false" ht="14.25" hidden="false" customHeight="true" outlineLevel="0" collapsed="false">
      <c r="A337" s="3" t="s">
        <v>51</v>
      </c>
      <c r="B337" s="4" t="s">
        <v>493</v>
      </c>
      <c r="C337" s="4" t="s">
        <v>507</v>
      </c>
      <c r="D337" s="4" t="s">
        <v>136</v>
      </c>
      <c r="E337" s="3" t="s">
        <v>54</v>
      </c>
      <c r="F337" s="3" t="n">
        <v>738</v>
      </c>
      <c r="G337" s="4" t="s">
        <v>24</v>
      </c>
      <c r="H337" s="5"/>
      <c r="I337" s="3"/>
      <c r="J337" s="6" t="n">
        <v>602</v>
      </c>
      <c r="K337" s="6" t="n">
        <v>413</v>
      </c>
      <c r="L337" s="7" t="n">
        <f aca="false">K337*1.35582</f>
        <v>559.95366</v>
      </c>
      <c r="M337" s="6" t="n">
        <v>3593</v>
      </c>
      <c r="N337" s="7" t="n">
        <f aca="false">M337*0.453592</f>
        <v>1629.756056</v>
      </c>
      <c r="O337" s="3"/>
      <c r="P337" s="3"/>
      <c r="Q337" s="8" t="n">
        <f aca="false">J337/M337</f>
        <v>0.167548010019482</v>
      </c>
      <c r="R337" s="8" t="n">
        <f aca="false">J337/N337</f>
        <v>0.369380434442147</v>
      </c>
      <c r="S337" s="4" t="s">
        <v>84</v>
      </c>
    </row>
    <row r="338" customFormat="false" ht="14.25" hidden="false" customHeight="true" outlineLevel="0" collapsed="false">
      <c r="A338" s="3" t="s">
        <v>141</v>
      </c>
      <c r="B338" s="4" t="s">
        <v>493</v>
      </c>
      <c r="C338" s="4" t="s">
        <v>508</v>
      </c>
      <c r="D338" s="4" t="s">
        <v>171</v>
      </c>
      <c r="E338" s="3" t="s">
        <v>54</v>
      </c>
      <c r="F338" s="3" t="n">
        <v>783</v>
      </c>
      <c r="G338" s="4" t="s">
        <v>24</v>
      </c>
      <c r="H338" s="5" t="n">
        <v>325000</v>
      </c>
      <c r="I338" s="3" t="s">
        <v>66</v>
      </c>
      <c r="J338" s="6" t="n">
        <v>630</v>
      </c>
      <c r="K338" s="6" t="n">
        <v>416</v>
      </c>
      <c r="L338" s="7" t="n">
        <f aca="false">K338*1.35582</f>
        <v>564.02112</v>
      </c>
      <c r="M338" s="6" t="n">
        <v>3239</v>
      </c>
      <c r="N338" s="7" t="n">
        <f aca="false">M338*0.453592</f>
        <v>1469.184488</v>
      </c>
      <c r="O338" s="3" t="s">
        <v>26</v>
      </c>
      <c r="P338" s="3" t="s">
        <v>67</v>
      </c>
      <c r="Q338" s="8" t="n">
        <f aca="false">J338/M338</f>
        <v>0.194504476690337</v>
      </c>
      <c r="R338" s="8" t="n">
        <f aca="false">J338/N338</f>
        <v>0.428809319146582</v>
      </c>
      <c r="S338" s="4" t="s">
        <v>35</v>
      </c>
    </row>
    <row r="339" customFormat="false" ht="14.25" hidden="false" customHeight="true" outlineLevel="0" collapsed="false">
      <c r="A339" s="3" t="s">
        <v>51</v>
      </c>
      <c r="B339" s="4" t="s">
        <v>493</v>
      </c>
      <c r="C339" s="4" t="s">
        <v>509</v>
      </c>
      <c r="D339" s="4" t="s">
        <v>53</v>
      </c>
      <c r="E339" s="3" t="s">
        <v>54</v>
      </c>
      <c r="F339" s="3" t="n">
        <v>747</v>
      </c>
      <c r="G339" s="4" t="s">
        <v>24</v>
      </c>
      <c r="H339" s="5" t="n">
        <v>365000</v>
      </c>
      <c r="I339" s="3" t="s">
        <v>66</v>
      </c>
      <c r="J339" s="6" t="n">
        <v>630</v>
      </c>
      <c r="K339" s="6" t="n">
        <v>416</v>
      </c>
      <c r="L339" s="7" t="n">
        <f aca="false">K339*1.35582</f>
        <v>564.02112</v>
      </c>
      <c r="M339" s="6" t="n">
        <v>3401</v>
      </c>
      <c r="N339" s="7" t="n">
        <f aca="false">M339*0.453592</f>
        <v>1542.666392</v>
      </c>
      <c r="O339" s="3" t="s">
        <v>26</v>
      </c>
      <c r="P339" s="3" t="s">
        <v>67</v>
      </c>
      <c r="Q339" s="8" t="n">
        <f aca="false">J339/M339</f>
        <v>0.185239635401353</v>
      </c>
      <c r="R339" s="8" t="n">
        <f aca="false">J339/N339</f>
        <v>0.408383823791761</v>
      </c>
      <c r="S339" s="4" t="s">
        <v>35</v>
      </c>
    </row>
    <row r="340" customFormat="false" ht="14.25" hidden="false" customHeight="true" outlineLevel="0" collapsed="false">
      <c r="A340" s="3" t="s">
        <v>247</v>
      </c>
      <c r="B340" s="4" t="s">
        <v>493</v>
      </c>
      <c r="C340" s="4" t="s">
        <v>510</v>
      </c>
      <c r="D340" s="4" t="s">
        <v>82</v>
      </c>
      <c r="E340" s="3" t="s">
        <v>39</v>
      </c>
      <c r="F340" s="3" t="n">
        <v>505</v>
      </c>
      <c r="G340" s="4" t="s">
        <v>24</v>
      </c>
      <c r="H340" s="5" t="n">
        <v>1700000</v>
      </c>
      <c r="I340" s="3" t="s">
        <v>66</v>
      </c>
      <c r="J340" s="6" t="n">
        <v>350</v>
      </c>
      <c r="K340" s="6" t="n">
        <v>272</v>
      </c>
      <c r="L340" s="7" t="n">
        <f aca="false">K340*1.35582</f>
        <v>368.78304</v>
      </c>
      <c r="M340" s="6" t="n">
        <v>2745</v>
      </c>
      <c r="N340" s="7" t="n">
        <f aca="false">M340*0.453592</f>
        <v>1245.11004</v>
      </c>
      <c r="O340" s="3" t="s">
        <v>26</v>
      </c>
      <c r="P340" s="3" t="s">
        <v>67</v>
      </c>
      <c r="Q340" s="8" t="n">
        <f aca="false">J340/M340</f>
        <v>0.127504553734062</v>
      </c>
      <c r="R340" s="8" t="n">
        <f aca="false">J340/N340</f>
        <v>0.281099652846748</v>
      </c>
      <c r="S340" s="4" t="s">
        <v>35</v>
      </c>
    </row>
    <row r="341" customFormat="false" ht="14.25" hidden="false" customHeight="true" outlineLevel="0" collapsed="false">
      <c r="A341" s="3" t="s">
        <v>159</v>
      </c>
      <c r="B341" s="4" t="s">
        <v>493</v>
      </c>
      <c r="C341" s="4" t="s">
        <v>511</v>
      </c>
      <c r="D341" s="4" t="s">
        <v>53</v>
      </c>
      <c r="E341" s="3" t="s">
        <v>54</v>
      </c>
      <c r="F341" s="3" t="n">
        <v>707</v>
      </c>
      <c r="G341" s="4" t="s">
        <v>24</v>
      </c>
      <c r="H341" s="5" t="n">
        <v>100000</v>
      </c>
      <c r="I341" s="3" t="s">
        <v>55</v>
      </c>
      <c r="J341" s="6" t="n">
        <v>661</v>
      </c>
      <c r="K341" s="6" t="n">
        <v>487</v>
      </c>
      <c r="L341" s="7" t="n">
        <f aca="false">K341*1.35582</f>
        <v>660.28434</v>
      </c>
      <c r="M341" s="6" t="n">
        <v>3794</v>
      </c>
      <c r="N341" s="7" t="n">
        <f aca="false">M341*0.453592</f>
        <v>1720.928048</v>
      </c>
      <c r="O341" s="3" t="s">
        <v>62</v>
      </c>
      <c r="P341" s="3" t="s">
        <v>67</v>
      </c>
      <c r="Q341" s="8" t="n">
        <f aca="false">J341/M341</f>
        <v>0.174222456510279</v>
      </c>
      <c r="R341" s="8" t="n">
        <f aca="false">J341/N341</f>
        <v>0.384095082166968</v>
      </c>
      <c r="S341" s="4" t="s">
        <v>35</v>
      </c>
    </row>
    <row r="342" customFormat="false" ht="14.25" hidden="false" customHeight="true" outlineLevel="0" collapsed="false">
      <c r="A342" s="3" t="s">
        <v>207</v>
      </c>
      <c r="B342" s="4" t="s">
        <v>493</v>
      </c>
      <c r="C342" s="4" t="s">
        <v>512</v>
      </c>
      <c r="D342" s="4" t="s">
        <v>126</v>
      </c>
      <c r="E342" s="3" t="s">
        <v>109</v>
      </c>
      <c r="F342" s="3" t="n">
        <v>829</v>
      </c>
      <c r="G342" s="4" t="s">
        <v>24</v>
      </c>
      <c r="H342" s="5" t="n">
        <v>365000</v>
      </c>
      <c r="I342" s="3" t="s">
        <v>66</v>
      </c>
      <c r="J342" s="6" t="n">
        <v>1001</v>
      </c>
      <c r="K342" s="6" t="n">
        <v>739</v>
      </c>
      <c r="L342" s="7" t="n">
        <f aca="false">K342*1.35582</f>
        <v>1001.95098</v>
      </c>
      <c r="M342" s="6" t="n">
        <v>4047</v>
      </c>
      <c r="N342" s="7" t="n">
        <f aca="false">M342*0.453592</f>
        <v>1835.686824</v>
      </c>
      <c r="O342" s="3" t="s">
        <v>62</v>
      </c>
      <c r="P342" s="3" t="s">
        <v>67</v>
      </c>
      <c r="Q342" s="8" t="n">
        <f aca="false">J342/M342</f>
        <v>0.247343711391154</v>
      </c>
      <c r="R342" s="8" t="n">
        <f aca="false">J342/N342</f>
        <v>0.545299986311826</v>
      </c>
      <c r="S342" s="4" t="s">
        <v>99</v>
      </c>
    </row>
    <row r="343" customFormat="false" ht="14.25" hidden="false" customHeight="true" outlineLevel="0" collapsed="false">
      <c r="A343" s="3" t="s">
        <v>145</v>
      </c>
      <c r="B343" s="4" t="s">
        <v>493</v>
      </c>
      <c r="C343" s="4" t="s">
        <v>513</v>
      </c>
      <c r="D343" s="4" t="s">
        <v>103</v>
      </c>
      <c r="E343" s="3" t="s">
        <v>109</v>
      </c>
      <c r="F343" s="3" t="n">
        <v>871</v>
      </c>
      <c r="G343" s="4" t="s">
        <v>24</v>
      </c>
      <c r="H343" s="5"/>
      <c r="I343" s="3"/>
      <c r="J343" s="6" t="n">
        <v>562</v>
      </c>
      <c r="K343" s="6" t="n">
        <v>398</v>
      </c>
      <c r="L343" s="7" t="n">
        <f aca="false">K343*1.35582</f>
        <v>539.61636</v>
      </c>
      <c r="M343" s="6" t="n">
        <v>2202</v>
      </c>
      <c r="N343" s="7" t="n">
        <f aca="false">M343*0.453592</f>
        <v>998.809584</v>
      </c>
      <c r="O343" s="3"/>
      <c r="P343" s="3"/>
      <c r="Q343" s="8" t="n">
        <f aca="false">J343/M343</f>
        <v>0.255222524977293</v>
      </c>
      <c r="R343" s="8" t="n">
        <f aca="false">J343/N343</f>
        <v>0.562669811145905</v>
      </c>
      <c r="S343" s="4" t="s">
        <v>105</v>
      </c>
    </row>
    <row r="344" customFormat="false" ht="14.25" hidden="false" customHeight="true" outlineLevel="0" collapsed="false">
      <c r="A344" s="3" t="s">
        <v>141</v>
      </c>
      <c r="B344" s="4" t="s">
        <v>493</v>
      </c>
      <c r="C344" s="4" t="s">
        <v>514</v>
      </c>
      <c r="D344" s="4" t="s">
        <v>126</v>
      </c>
      <c r="E344" s="3" t="s">
        <v>54</v>
      </c>
      <c r="F344" s="3" t="n">
        <v>797</v>
      </c>
      <c r="G344" s="4" t="s">
        <v>24</v>
      </c>
      <c r="H344" s="5" t="n">
        <v>2500000</v>
      </c>
      <c r="I344" s="3" t="s">
        <v>66</v>
      </c>
      <c r="J344" s="6" t="n">
        <v>808</v>
      </c>
      <c r="K344" s="6" t="n">
        <v>556</v>
      </c>
      <c r="L344" s="7" t="n">
        <f aca="false">K344*1.35582</f>
        <v>753.83592</v>
      </c>
      <c r="M344" s="6" t="n">
        <v>3827</v>
      </c>
      <c r="N344" s="7" t="n">
        <f aca="false">M344*0.453592</f>
        <v>1735.896584</v>
      </c>
      <c r="O344" s="3" t="s">
        <v>62</v>
      </c>
      <c r="P344" s="3" t="s">
        <v>67</v>
      </c>
      <c r="Q344" s="8" t="n">
        <f aca="false">J344/M344</f>
        <v>0.211131434544029</v>
      </c>
      <c r="R344" s="8" t="n">
        <f aca="false">J344/N344</f>
        <v>0.4654655164642</v>
      </c>
      <c r="S344" s="4" t="s">
        <v>35</v>
      </c>
    </row>
    <row r="345" customFormat="false" ht="14.25" hidden="false" customHeight="true" outlineLevel="0" collapsed="false">
      <c r="A345" s="3" t="s">
        <v>207</v>
      </c>
      <c r="B345" s="4" t="s">
        <v>493</v>
      </c>
      <c r="C345" s="4" t="s">
        <v>515</v>
      </c>
      <c r="D345" s="4" t="s">
        <v>126</v>
      </c>
      <c r="E345" s="3" t="s">
        <v>109</v>
      </c>
      <c r="F345" s="3" t="n">
        <v>801</v>
      </c>
      <c r="G345" s="4" t="s">
        <v>24</v>
      </c>
      <c r="H345" s="5" t="n">
        <v>250000</v>
      </c>
      <c r="I345" s="3" t="s">
        <v>66</v>
      </c>
      <c r="J345" s="6" t="n">
        <v>907</v>
      </c>
      <c r="K345" s="6" t="n">
        <v>590</v>
      </c>
      <c r="L345" s="7" t="n">
        <f aca="false">K345*1.35582</f>
        <v>799.9338</v>
      </c>
      <c r="M345" s="6" t="n">
        <v>4079</v>
      </c>
      <c r="N345" s="7" t="n">
        <f aca="false">M345*0.453592</f>
        <v>1850.201768</v>
      </c>
      <c r="O345" s="3"/>
      <c r="P345" s="3"/>
      <c r="Q345" s="8" t="n">
        <f aca="false">J345/M345</f>
        <v>0.222358421181662</v>
      </c>
      <c r="R345" s="8" t="n">
        <f aca="false">J345/N345</f>
        <v>0.490216805370602</v>
      </c>
      <c r="S345" s="4" t="s">
        <v>28</v>
      </c>
    </row>
    <row r="346" customFormat="false" ht="14.25" hidden="false" customHeight="true" outlineLevel="0" collapsed="false">
      <c r="A346" s="3" t="s">
        <v>121</v>
      </c>
      <c r="B346" s="4" t="s">
        <v>493</v>
      </c>
      <c r="C346" s="4" t="s">
        <v>516</v>
      </c>
      <c r="D346" s="4" t="s">
        <v>124</v>
      </c>
      <c r="E346" s="3" t="s">
        <v>70</v>
      </c>
      <c r="F346" s="3" t="n">
        <v>659</v>
      </c>
      <c r="G346" s="4" t="s">
        <v>24</v>
      </c>
      <c r="H346" s="5" t="n">
        <v>200000</v>
      </c>
      <c r="I346" s="3" t="s">
        <v>25</v>
      </c>
      <c r="J346" s="6" t="n">
        <v>641</v>
      </c>
      <c r="K346" s="6" t="n">
        <v>626</v>
      </c>
      <c r="L346" s="7" t="n">
        <f aca="false">K346*1.35582</f>
        <v>848.74332</v>
      </c>
      <c r="M346" s="6" t="n">
        <v>4850</v>
      </c>
      <c r="N346" s="7" t="n">
        <f aca="false">M346*0.453592</f>
        <v>2199.9212</v>
      </c>
      <c r="O346" s="3" t="s">
        <v>62</v>
      </c>
      <c r="P346" s="3" t="s">
        <v>27</v>
      </c>
      <c r="Q346" s="8" t="n">
        <f aca="false">J346/M346</f>
        <v>0.132164948453608</v>
      </c>
      <c r="R346" s="8" t="n">
        <f aca="false">J346/N346</f>
        <v>0.291374072853155</v>
      </c>
      <c r="S346" s="4" t="s">
        <v>99</v>
      </c>
    </row>
    <row r="347" customFormat="false" ht="14.25" hidden="false" customHeight="true" outlineLevel="0" collapsed="false">
      <c r="A347" s="3" t="s">
        <v>106</v>
      </c>
      <c r="B347" s="4" t="s">
        <v>493</v>
      </c>
      <c r="C347" s="4" t="s">
        <v>517</v>
      </c>
      <c r="D347" s="4" t="s">
        <v>126</v>
      </c>
      <c r="E347" s="3" t="s">
        <v>109</v>
      </c>
      <c r="F347" s="3" t="n">
        <v>834</v>
      </c>
      <c r="G347" s="4" t="s">
        <v>24</v>
      </c>
      <c r="H347" s="5" t="n">
        <v>3950000</v>
      </c>
      <c r="I347" s="3" t="s">
        <v>66</v>
      </c>
      <c r="J347" s="6" t="n">
        <v>740</v>
      </c>
      <c r="K347" s="6" t="n">
        <v>508</v>
      </c>
      <c r="L347" s="7" t="n">
        <f aca="false">K347*1.35582</f>
        <v>688.75656</v>
      </c>
      <c r="M347" s="6" t="n">
        <v>3629</v>
      </c>
      <c r="N347" s="7" t="n">
        <f aca="false">M347*0.453592</f>
        <v>1646.085368</v>
      </c>
      <c r="O347" s="3" t="s">
        <v>62</v>
      </c>
      <c r="P347" s="3" t="s">
        <v>67</v>
      </c>
      <c r="Q347" s="8" t="n">
        <f aca="false">J347/M347</f>
        <v>0.203912923670433</v>
      </c>
      <c r="R347" s="8" t="n">
        <f aca="false">J347/N347</f>
        <v>0.449551411114906</v>
      </c>
      <c r="S347" s="4" t="s">
        <v>35</v>
      </c>
    </row>
    <row r="348" customFormat="false" ht="14.25" hidden="false" customHeight="true" outlineLevel="0" collapsed="false">
      <c r="A348" s="3" t="s">
        <v>277</v>
      </c>
      <c r="B348" s="4" t="s">
        <v>518</v>
      </c>
      <c r="C348" s="4" t="s">
        <v>519</v>
      </c>
      <c r="D348" s="4" t="s">
        <v>158</v>
      </c>
      <c r="E348" s="3" t="s">
        <v>39</v>
      </c>
      <c r="F348" s="3" t="n">
        <v>555</v>
      </c>
      <c r="G348" s="4" t="s">
        <v>24</v>
      </c>
      <c r="H348" s="5" t="n">
        <v>600000</v>
      </c>
      <c r="I348" s="3" t="s">
        <v>55</v>
      </c>
      <c r="J348" s="6"/>
      <c r="K348" s="6"/>
      <c r="L348" s="7"/>
      <c r="M348" s="6"/>
      <c r="N348" s="7"/>
      <c r="O348" s="3"/>
      <c r="P348" s="3"/>
      <c r="Q348" s="8"/>
      <c r="R348" s="8"/>
      <c r="S348" s="4" t="s">
        <v>28</v>
      </c>
    </row>
    <row r="349" customFormat="false" ht="14.25" hidden="false" customHeight="true" outlineLevel="0" collapsed="false">
      <c r="A349" s="3" t="s">
        <v>58</v>
      </c>
      <c r="B349" s="4" t="s">
        <v>518</v>
      </c>
      <c r="C349" s="4" t="s">
        <v>520</v>
      </c>
      <c r="D349" s="4" t="s">
        <v>158</v>
      </c>
      <c r="E349" s="3" t="s">
        <v>23</v>
      </c>
      <c r="F349" s="3" t="n">
        <v>489</v>
      </c>
      <c r="G349" s="4" t="s">
        <v>24</v>
      </c>
      <c r="H349" s="5" t="n">
        <v>110000</v>
      </c>
      <c r="I349" s="3" t="s">
        <v>33</v>
      </c>
      <c r="J349" s="6" t="n">
        <v>210</v>
      </c>
      <c r="K349" s="6" t="n">
        <v>224</v>
      </c>
      <c r="L349" s="7" t="n">
        <f aca="false">K349*1.35582</f>
        <v>303.70368</v>
      </c>
      <c r="M349" s="6" t="n">
        <v>2866</v>
      </c>
      <c r="N349" s="7" t="n">
        <f aca="false">M349*0.453592</f>
        <v>1299.994672</v>
      </c>
      <c r="O349" s="3" t="s">
        <v>62</v>
      </c>
      <c r="P349" s="3" t="s">
        <v>27</v>
      </c>
      <c r="Q349" s="8" t="n">
        <f aca="false">J349/M349</f>
        <v>0.0732728541521284</v>
      </c>
      <c r="R349" s="8" t="n">
        <f aca="false">J349/N349</f>
        <v>0.161539123600347</v>
      </c>
      <c r="S349" s="4" t="s">
        <v>35</v>
      </c>
    </row>
    <row r="350" customFormat="false" ht="14.25" hidden="false" customHeight="true" outlineLevel="0" collapsed="false">
      <c r="A350" s="3" t="s">
        <v>133</v>
      </c>
      <c r="B350" s="4" t="s">
        <v>518</v>
      </c>
      <c r="C350" s="4" t="s">
        <v>521</v>
      </c>
      <c r="D350" s="4" t="s">
        <v>158</v>
      </c>
      <c r="E350" s="3" t="s">
        <v>39</v>
      </c>
      <c r="F350" s="3" t="n">
        <v>564</v>
      </c>
      <c r="G350" s="4" t="s">
        <v>24</v>
      </c>
      <c r="H350" s="5" t="n">
        <v>55000</v>
      </c>
      <c r="I350" s="3" t="s">
        <v>25</v>
      </c>
      <c r="J350" s="6" t="n">
        <v>247</v>
      </c>
      <c r="K350" s="6" t="n">
        <v>214</v>
      </c>
      <c r="L350" s="7" t="n">
        <f aca="false">K350*1.35582</f>
        <v>290.14548</v>
      </c>
      <c r="M350" s="6" t="n">
        <v>2646</v>
      </c>
      <c r="N350" s="7" t="n">
        <f aca="false">M350*0.453592</f>
        <v>1200.204432</v>
      </c>
      <c r="O350" s="3" t="s">
        <v>62</v>
      </c>
      <c r="P350" s="3" t="s">
        <v>67</v>
      </c>
      <c r="Q350" s="8" t="n">
        <f aca="false">J350/M350</f>
        <v>0.0933484504913076</v>
      </c>
      <c r="R350" s="8" t="n">
        <f aca="false">J350/N350</f>
        <v>0.205798273539453</v>
      </c>
      <c r="S350" s="4" t="s">
        <v>35</v>
      </c>
    </row>
    <row r="351" customFormat="false" ht="14.25" hidden="false" customHeight="true" outlineLevel="0" collapsed="false">
      <c r="A351" s="3" t="s">
        <v>437</v>
      </c>
      <c r="B351" s="4" t="s">
        <v>518</v>
      </c>
      <c r="C351" s="4" t="s">
        <v>522</v>
      </c>
      <c r="D351" s="4" t="s">
        <v>42</v>
      </c>
      <c r="E351" s="3" t="s">
        <v>23</v>
      </c>
      <c r="F351" s="3" t="n">
        <v>483</v>
      </c>
      <c r="G351" s="4" t="s">
        <v>24</v>
      </c>
      <c r="H351" s="5" t="n">
        <v>680000</v>
      </c>
      <c r="I351" s="3" t="s">
        <v>187</v>
      </c>
      <c r="J351" s="6" t="n">
        <v>190</v>
      </c>
      <c r="K351" s="6" t="n">
        <v>165</v>
      </c>
      <c r="L351" s="7" t="n">
        <f aca="false">K351*1.35582</f>
        <v>223.7103</v>
      </c>
      <c r="M351" s="6" t="n">
        <v>2161</v>
      </c>
      <c r="N351" s="7" t="n">
        <f aca="false">M351*0.453592</f>
        <v>980.212312</v>
      </c>
      <c r="O351" s="3"/>
      <c r="P351" s="3"/>
      <c r="Q351" s="8" t="n">
        <f aca="false">J351/M351</f>
        <v>0.0879222582137899</v>
      </c>
      <c r="R351" s="8" t="n">
        <f aca="false">J351/N351</f>
        <v>0.193835557535825</v>
      </c>
      <c r="S351" s="4" t="s">
        <v>188</v>
      </c>
    </row>
    <row r="352" customFormat="false" ht="14.25" hidden="false" customHeight="true" outlineLevel="0" collapsed="false">
      <c r="A352" s="3" t="s">
        <v>141</v>
      </c>
      <c r="B352" s="4" t="s">
        <v>523</v>
      </c>
      <c r="C352" s="4" t="s">
        <v>524</v>
      </c>
      <c r="D352" s="4" t="s">
        <v>124</v>
      </c>
      <c r="E352" s="3" t="s">
        <v>23</v>
      </c>
      <c r="F352" s="3" t="n">
        <v>427</v>
      </c>
      <c r="G352" s="4" t="s">
        <v>110</v>
      </c>
      <c r="H352" s="5" t="n">
        <v>250000</v>
      </c>
      <c r="I352" s="3" t="s">
        <v>33</v>
      </c>
      <c r="J352" s="6" t="n">
        <v>395</v>
      </c>
      <c r="K352" s="6" t="n">
        <v>406</v>
      </c>
      <c r="L352" s="7" t="n">
        <f aca="false">K352*1.35582</f>
        <v>550.46292</v>
      </c>
      <c r="M352" s="6" t="n">
        <v>5260</v>
      </c>
      <c r="N352" s="7" t="n">
        <f aca="false">M352*0.453592</f>
        <v>2385.89392</v>
      </c>
      <c r="O352" s="3" t="s">
        <v>62</v>
      </c>
      <c r="P352" s="3" t="s">
        <v>27</v>
      </c>
      <c r="Q352" s="8" t="n">
        <f aca="false">J352/M352</f>
        <v>0.0750950570342205</v>
      </c>
      <c r="R352" s="8" t="n">
        <f aca="false">J352/N352</f>
        <v>0.165556396572736</v>
      </c>
      <c r="S352" s="4" t="s">
        <v>63</v>
      </c>
    </row>
    <row r="353" customFormat="false" ht="14.25" hidden="false" customHeight="true" outlineLevel="0" collapsed="false">
      <c r="A353" s="3" t="s">
        <v>94</v>
      </c>
      <c r="B353" s="4" t="s">
        <v>523</v>
      </c>
      <c r="C353" s="4" t="s">
        <v>525</v>
      </c>
      <c r="D353" s="4" t="s">
        <v>124</v>
      </c>
      <c r="E353" s="3" t="s">
        <v>70</v>
      </c>
      <c r="F353" s="3" t="n">
        <v>604</v>
      </c>
      <c r="G353" s="4" t="s">
        <v>110</v>
      </c>
      <c r="H353" s="5" t="n">
        <v>48000</v>
      </c>
      <c r="I353" s="3" t="s">
        <v>25</v>
      </c>
      <c r="J353" s="6" t="n">
        <v>550</v>
      </c>
      <c r="K353" s="6" t="n">
        <v>502</v>
      </c>
      <c r="L353" s="7" t="n">
        <f aca="false">K353*1.35582</f>
        <v>680.62164</v>
      </c>
      <c r="M353" s="6" t="n">
        <v>5148</v>
      </c>
      <c r="N353" s="7" t="n">
        <f aca="false">M353*0.453592</f>
        <v>2335.091616</v>
      </c>
      <c r="O353" s="3" t="s">
        <v>62</v>
      </c>
      <c r="P353" s="3" t="s">
        <v>27</v>
      </c>
      <c r="Q353" s="8" t="n">
        <f aca="false">J353/M353</f>
        <v>0.106837606837607</v>
      </c>
      <c r="R353" s="8" t="n">
        <f aca="false">J353/N353</f>
        <v>0.235536797028181</v>
      </c>
      <c r="S353" s="4" t="s">
        <v>99</v>
      </c>
    </row>
    <row r="354" customFormat="false" ht="14.25" hidden="false" customHeight="true" outlineLevel="0" collapsed="false">
      <c r="A354" s="3" t="s">
        <v>76</v>
      </c>
      <c r="B354" s="4" t="s">
        <v>526</v>
      </c>
      <c r="C354" s="4" t="s">
        <v>527</v>
      </c>
      <c r="D354" s="4" t="s">
        <v>73</v>
      </c>
      <c r="E354" s="3" t="s">
        <v>39</v>
      </c>
      <c r="F354" s="3" t="n">
        <v>592</v>
      </c>
      <c r="G354" s="4" t="s">
        <v>46</v>
      </c>
      <c r="H354" s="5" t="n">
        <v>79000</v>
      </c>
      <c r="I354" s="3" t="s">
        <v>25</v>
      </c>
      <c r="J354" s="6" t="n">
        <v>471</v>
      </c>
      <c r="K354" s="6" t="n">
        <v>398</v>
      </c>
      <c r="L354" s="7" t="n">
        <f aca="false">K354*1.35582</f>
        <v>539.61636</v>
      </c>
      <c r="M354" s="6" t="n">
        <v>4266</v>
      </c>
      <c r="N354" s="7" t="n">
        <f aca="false">M354*0.453592</f>
        <v>1935.023472</v>
      </c>
      <c r="O354" s="3" t="s">
        <v>26</v>
      </c>
      <c r="P354" s="3" t="s">
        <v>27</v>
      </c>
      <c r="Q354" s="8" t="n">
        <f aca="false">J354/M354</f>
        <v>0.110407876230661</v>
      </c>
      <c r="R354" s="8" t="n">
        <f aca="false">J354/N354</f>
        <v>0.243407900118743</v>
      </c>
      <c r="S354" s="4" t="s">
        <v>35</v>
      </c>
    </row>
    <row r="355" customFormat="false" ht="14.25" hidden="false" customHeight="true" outlineLevel="0" collapsed="false">
      <c r="A355" s="3" t="s">
        <v>159</v>
      </c>
      <c r="B355" s="4" t="s">
        <v>526</v>
      </c>
      <c r="C355" s="4" t="s">
        <v>528</v>
      </c>
      <c r="D355" s="4" t="s">
        <v>53</v>
      </c>
      <c r="E355" s="3" t="s">
        <v>70</v>
      </c>
      <c r="F355" s="3" t="n">
        <v>699</v>
      </c>
      <c r="G355" s="4" t="s">
        <v>46</v>
      </c>
      <c r="H355" s="5" t="n">
        <v>875000</v>
      </c>
      <c r="I355" s="3" t="s">
        <v>55</v>
      </c>
      <c r="J355" s="6" t="n">
        <v>552</v>
      </c>
      <c r="K355" s="6" t="n">
        <v>354</v>
      </c>
      <c r="L355" s="7" t="n">
        <f aca="false">K355*1.35582</f>
        <v>479.96028</v>
      </c>
      <c r="M355" s="6" t="n">
        <v>3263</v>
      </c>
      <c r="N355" s="7" t="n">
        <f aca="false">M355*0.453592</f>
        <v>1480.070696</v>
      </c>
      <c r="O355" s="3" t="s">
        <v>26</v>
      </c>
      <c r="P355" s="3" t="s">
        <v>67</v>
      </c>
      <c r="Q355" s="8" t="n">
        <f aca="false">J355/M355</f>
        <v>0.169169475942384</v>
      </c>
      <c r="R355" s="8" t="n">
        <f aca="false">J355/N355</f>
        <v>0.372955157812273</v>
      </c>
      <c r="S355" s="4" t="s">
        <v>63</v>
      </c>
    </row>
    <row r="356" customFormat="false" ht="14.25" hidden="false" customHeight="true" outlineLevel="0" collapsed="false">
      <c r="A356" s="3" t="s">
        <v>159</v>
      </c>
      <c r="B356" s="4" t="s">
        <v>526</v>
      </c>
      <c r="C356" s="4" t="s">
        <v>529</v>
      </c>
      <c r="D356" s="4" t="s">
        <v>103</v>
      </c>
      <c r="E356" s="3" t="s">
        <v>109</v>
      </c>
      <c r="F356" s="3" t="n">
        <v>900</v>
      </c>
      <c r="G356" s="4" t="s">
        <v>46</v>
      </c>
      <c r="H356" s="5"/>
      <c r="I356" s="3"/>
      <c r="J356" s="6" t="n">
        <v>750</v>
      </c>
      <c r="K356" s="6" t="n">
        <v>500</v>
      </c>
      <c r="L356" s="7" t="n">
        <f aca="false">K356*1.35582</f>
        <v>677.91</v>
      </c>
      <c r="M356" s="6" t="n">
        <v>2778</v>
      </c>
      <c r="N356" s="7" t="n">
        <f aca="false">M356*0.453592</f>
        <v>1260.078576</v>
      </c>
      <c r="O356" s="3"/>
      <c r="P356" s="3"/>
      <c r="Q356" s="8" t="n">
        <f aca="false">J356/M356</f>
        <v>0.269978401727862</v>
      </c>
      <c r="R356" s="8" t="n">
        <f aca="false">J356/N356</f>
        <v>0.59520097737143</v>
      </c>
      <c r="S356" s="4" t="s">
        <v>84</v>
      </c>
    </row>
    <row r="357" customFormat="false" ht="14.25" hidden="false" customHeight="true" outlineLevel="0" collapsed="false">
      <c r="A357" s="3" t="s">
        <v>94</v>
      </c>
      <c r="B357" s="4" t="s">
        <v>526</v>
      </c>
      <c r="C357" s="4" t="s">
        <v>530</v>
      </c>
      <c r="D357" s="4" t="s">
        <v>78</v>
      </c>
      <c r="E357" s="3" t="s">
        <v>70</v>
      </c>
      <c r="F357" s="3" t="n">
        <v>623</v>
      </c>
      <c r="G357" s="4" t="s">
        <v>46</v>
      </c>
      <c r="H357" s="5" t="n">
        <v>35000</v>
      </c>
      <c r="I357" s="3" t="s">
        <v>25</v>
      </c>
      <c r="J357" s="6" t="n">
        <v>467</v>
      </c>
      <c r="K357" s="6" t="n">
        <v>388</v>
      </c>
      <c r="L357" s="7" t="n">
        <f aca="false">K357*1.35582</f>
        <v>526.05816</v>
      </c>
      <c r="M357" s="6" t="n">
        <v>3957</v>
      </c>
      <c r="N357" s="7" t="n">
        <f aca="false">M357*0.453592</f>
        <v>1794.863544</v>
      </c>
      <c r="O357" s="3" t="s">
        <v>26</v>
      </c>
      <c r="P357" s="3" t="s">
        <v>27</v>
      </c>
      <c r="Q357" s="8" t="n">
        <f aca="false">J357/M357</f>
        <v>0.118018701036138</v>
      </c>
      <c r="R357" s="8" t="n">
        <f aca="false">J357/N357</f>
        <v>0.260186910342639</v>
      </c>
      <c r="S357" s="4" t="s">
        <v>35</v>
      </c>
    </row>
    <row r="358" customFormat="false" ht="14.25" hidden="false" customHeight="true" outlineLevel="0" collapsed="false">
      <c r="A358" s="3" t="s">
        <v>304</v>
      </c>
      <c r="B358" s="4" t="s">
        <v>531</v>
      </c>
      <c r="C358" s="4" t="s">
        <v>532</v>
      </c>
      <c r="D358" s="4" t="s">
        <v>231</v>
      </c>
      <c r="E358" s="3" t="s">
        <v>32</v>
      </c>
      <c r="F358" s="3" t="n">
        <v>267</v>
      </c>
      <c r="G358" s="4" t="s">
        <v>46</v>
      </c>
      <c r="H358" s="5" t="n">
        <v>65000</v>
      </c>
      <c r="I358" s="3"/>
      <c r="J358" s="6" t="n">
        <v>300</v>
      </c>
      <c r="K358" s="6" t="n">
        <v>465</v>
      </c>
      <c r="L358" s="7" t="n">
        <f aca="false">K358*1.35582</f>
        <v>630.4563</v>
      </c>
      <c r="M358" s="6" t="n">
        <v>4929</v>
      </c>
      <c r="N358" s="7" t="n">
        <f aca="false">M358*0.453592</f>
        <v>2235.754968</v>
      </c>
      <c r="O358" s="3"/>
      <c r="P358" s="3"/>
      <c r="Q358" s="8" t="n">
        <f aca="false">J358/M358</f>
        <v>0.0608642726719416</v>
      </c>
      <c r="R358" s="8" t="n">
        <f aca="false">J358/N358</f>
        <v>0.134182861849287</v>
      </c>
      <c r="S358" s="4" t="s">
        <v>188</v>
      </c>
    </row>
    <row r="359" customFormat="false" ht="14.25" hidden="false" customHeight="true" outlineLevel="0" collapsed="false">
      <c r="A359" s="3" t="s">
        <v>194</v>
      </c>
      <c r="B359" s="4" t="s">
        <v>533</v>
      </c>
      <c r="C359" s="4" t="s">
        <v>534</v>
      </c>
      <c r="D359" s="4" t="s">
        <v>186</v>
      </c>
      <c r="E359" s="3" t="s">
        <v>54</v>
      </c>
      <c r="F359" s="3" t="n">
        <v>709</v>
      </c>
      <c r="G359" s="4" t="s">
        <v>110</v>
      </c>
      <c r="H359" s="5" t="n">
        <v>1500000</v>
      </c>
      <c r="I359" s="3" t="s">
        <v>66</v>
      </c>
      <c r="J359" s="6" t="n">
        <v>350</v>
      </c>
      <c r="K359" s="6" t="n">
        <v>295</v>
      </c>
      <c r="L359" s="7" t="n">
        <f aca="false">K359*1.35582</f>
        <v>399.9669</v>
      </c>
      <c r="M359" s="6" t="n">
        <v>2425</v>
      </c>
      <c r="N359" s="7" t="n">
        <f aca="false">M359*0.453592</f>
        <v>1099.9606</v>
      </c>
      <c r="O359" s="3" t="s">
        <v>26</v>
      </c>
      <c r="P359" s="3" t="s">
        <v>67</v>
      </c>
      <c r="Q359" s="8" t="n">
        <f aca="false">J359/M359</f>
        <v>0.144329896907216</v>
      </c>
      <c r="R359" s="8" t="n">
        <f aca="false">J359/N359</f>
        <v>0.318193215284257</v>
      </c>
      <c r="S359" s="4" t="s">
        <v>35</v>
      </c>
    </row>
    <row r="360" customFormat="false" ht="14.25" hidden="false" customHeight="true" outlineLevel="0" collapsed="false">
      <c r="A360" s="3" t="s">
        <v>293</v>
      </c>
      <c r="B360" s="4" t="s">
        <v>533</v>
      </c>
      <c r="C360" s="4" t="s">
        <v>535</v>
      </c>
      <c r="D360" s="4" t="s">
        <v>120</v>
      </c>
      <c r="E360" s="3" t="s">
        <v>39</v>
      </c>
      <c r="F360" s="3" t="n">
        <v>589</v>
      </c>
      <c r="G360" s="4" t="s">
        <v>110</v>
      </c>
      <c r="H360" s="5" t="n">
        <v>47000</v>
      </c>
      <c r="I360" s="3" t="s">
        <v>33</v>
      </c>
      <c r="J360" s="6" t="n">
        <v>190</v>
      </c>
      <c r="K360" s="6" t="n">
        <v>140</v>
      </c>
      <c r="L360" s="7" t="n">
        <f aca="false">K360*1.35582</f>
        <v>189.8148</v>
      </c>
      <c r="M360" s="6" t="n">
        <v>1477</v>
      </c>
      <c r="N360" s="7" t="n">
        <f aca="false">M360*0.453592</f>
        <v>669.955384</v>
      </c>
      <c r="O360" s="3" t="s">
        <v>26</v>
      </c>
      <c r="P360" s="3" t="s">
        <v>67</v>
      </c>
      <c r="Q360" s="8" t="n">
        <f aca="false">J360/M360</f>
        <v>0.12863913337847</v>
      </c>
      <c r="R360" s="8" t="n">
        <f aca="false">J360/N360</f>
        <v>0.283600974837453</v>
      </c>
      <c r="S360" s="4" t="s">
        <v>35</v>
      </c>
    </row>
    <row r="361" customFormat="false" ht="14.25" hidden="false" customHeight="true" outlineLevel="0" collapsed="false">
      <c r="A361" s="3" t="s">
        <v>43</v>
      </c>
      <c r="B361" s="4" t="s">
        <v>533</v>
      </c>
      <c r="C361" s="4" t="s">
        <v>536</v>
      </c>
      <c r="D361" s="4" t="s">
        <v>22</v>
      </c>
      <c r="E361" s="3" t="s">
        <v>70</v>
      </c>
      <c r="F361" s="3" t="n">
        <v>656</v>
      </c>
      <c r="G361" s="4" t="s">
        <v>110</v>
      </c>
      <c r="H361" s="5" t="n">
        <v>250000</v>
      </c>
      <c r="I361" s="3" t="s">
        <v>25</v>
      </c>
      <c r="J361" s="6" t="n">
        <v>400</v>
      </c>
      <c r="K361" s="6" t="n">
        <v>310</v>
      </c>
      <c r="L361" s="7" t="n">
        <f aca="false">K361*1.35582</f>
        <v>420.3042</v>
      </c>
      <c r="M361" s="6" t="n">
        <v>3097</v>
      </c>
      <c r="N361" s="7" t="n">
        <f aca="false">M361*0.453592</f>
        <v>1404.774424</v>
      </c>
      <c r="O361" s="3"/>
      <c r="P361" s="3"/>
      <c r="Q361" s="8" t="n">
        <f aca="false">J361/M361</f>
        <v>0.129157248950597</v>
      </c>
      <c r="R361" s="8" t="n">
        <f aca="false">J361/N361</f>
        <v>0.284743225080243</v>
      </c>
      <c r="S361" s="4" t="s">
        <v>28</v>
      </c>
    </row>
    <row r="362" customFormat="false" ht="14.25" hidden="false" customHeight="true" outlineLevel="0" collapsed="false">
      <c r="A362" s="3" t="s">
        <v>141</v>
      </c>
      <c r="B362" s="4" t="s">
        <v>533</v>
      </c>
      <c r="C362" s="4" t="s">
        <v>537</v>
      </c>
      <c r="D362" s="4" t="s">
        <v>126</v>
      </c>
      <c r="E362" s="3" t="s">
        <v>88</v>
      </c>
      <c r="F362" s="3" t="n">
        <v>937</v>
      </c>
      <c r="G362" s="4" t="s">
        <v>110</v>
      </c>
      <c r="H362" s="5" t="n">
        <v>2450000</v>
      </c>
      <c r="I362" s="3" t="s">
        <v>66</v>
      </c>
      <c r="J362" s="6" t="n">
        <v>1973</v>
      </c>
      <c r="K362" s="6" t="n">
        <v>1253</v>
      </c>
      <c r="L362" s="7" t="n">
        <f aca="false">K362*1.35582</f>
        <v>1698.84246</v>
      </c>
      <c r="M362" s="6" t="n">
        <v>3704</v>
      </c>
      <c r="N362" s="7" t="n">
        <f aca="false">M362*0.453592</f>
        <v>1680.104768</v>
      </c>
      <c r="O362" s="3" t="s">
        <v>62</v>
      </c>
      <c r="P362" s="3" t="s">
        <v>67</v>
      </c>
      <c r="Q362" s="8" t="n">
        <f aca="false">J362/M362</f>
        <v>0.532667386609071</v>
      </c>
      <c r="R362" s="8" t="n">
        <f aca="false">J362/N362</f>
        <v>1.17433152835383</v>
      </c>
      <c r="S362" s="4" t="s">
        <v>35</v>
      </c>
    </row>
    <row r="363" customFormat="false" ht="14.25" hidden="false" customHeight="true" outlineLevel="0" collapsed="false">
      <c r="A363" s="3" t="s">
        <v>141</v>
      </c>
      <c r="B363" s="4" t="s">
        <v>533</v>
      </c>
      <c r="C363" s="4" t="s">
        <v>538</v>
      </c>
      <c r="D363" s="4" t="s">
        <v>273</v>
      </c>
      <c r="E363" s="3" t="s">
        <v>109</v>
      </c>
      <c r="F363" s="3" t="n">
        <v>900</v>
      </c>
      <c r="G363" s="4" t="s">
        <v>110</v>
      </c>
      <c r="H363" s="5" t="n">
        <v>500000</v>
      </c>
      <c r="I363" s="3" t="s">
        <v>296</v>
      </c>
      <c r="J363" s="6" t="n">
        <v>2198</v>
      </c>
      <c r="K363" s="6" t="n">
        <v>1253</v>
      </c>
      <c r="L363" s="7" t="n">
        <f aca="false">K363*1.35582</f>
        <v>1698.84246</v>
      </c>
      <c r="M363" s="6" t="n">
        <v>3527</v>
      </c>
      <c r="N363" s="7" t="n">
        <f aca="false">M363*0.453592</f>
        <v>1599.818984</v>
      </c>
      <c r="O363" s="3" t="s">
        <v>26</v>
      </c>
      <c r="P363" s="3" t="s">
        <v>67</v>
      </c>
      <c r="Q363" s="8" t="n">
        <f aca="false">J363/M363</f>
        <v>0.623192514885172</v>
      </c>
      <c r="R363" s="8" t="n">
        <f aca="false">J363/N363</f>
        <v>1.37390543679159</v>
      </c>
      <c r="S363" s="4" t="s">
        <v>75</v>
      </c>
    </row>
    <row r="364" customFormat="false" ht="14.25" hidden="false" customHeight="true" outlineLevel="0" collapsed="false">
      <c r="A364" s="3" t="s">
        <v>100</v>
      </c>
      <c r="B364" s="4" t="s">
        <v>533</v>
      </c>
      <c r="C364" s="4" t="s">
        <v>539</v>
      </c>
      <c r="D364" s="4" t="s">
        <v>171</v>
      </c>
      <c r="E364" s="3" t="s">
        <v>54</v>
      </c>
      <c r="F364" s="3" t="n">
        <v>732</v>
      </c>
      <c r="G364" s="4" t="s">
        <v>110</v>
      </c>
      <c r="H364" s="5" t="n">
        <v>250000</v>
      </c>
      <c r="I364" s="3" t="s">
        <v>55</v>
      </c>
      <c r="J364" s="6" t="n">
        <v>430</v>
      </c>
      <c r="K364" s="6" t="n">
        <v>324</v>
      </c>
      <c r="L364" s="7" t="n">
        <f aca="false">K364*1.35582</f>
        <v>439.28568</v>
      </c>
      <c r="M364" s="6" t="n">
        <v>2410</v>
      </c>
      <c r="N364" s="7" t="n">
        <f aca="false">M364*0.453592</f>
        <v>1093.15672</v>
      </c>
      <c r="O364" s="3"/>
      <c r="P364" s="3"/>
      <c r="Q364" s="8" t="n">
        <f aca="false">J364/M364</f>
        <v>0.178423236514523</v>
      </c>
      <c r="R364" s="8" t="n">
        <f aca="false">J364/N364</f>
        <v>0.393356224348143</v>
      </c>
      <c r="S364" s="4" t="s">
        <v>28</v>
      </c>
    </row>
    <row r="365" customFormat="false" ht="14.25" hidden="false" customHeight="true" outlineLevel="0" collapsed="false">
      <c r="A365" s="3" t="s">
        <v>100</v>
      </c>
      <c r="B365" s="4" t="s">
        <v>533</v>
      </c>
      <c r="C365" s="4" t="s">
        <v>540</v>
      </c>
      <c r="D365" s="4" t="s">
        <v>103</v>
      </c>
      <c r="E365" s="3" t="s">
        <v>88</v>
      </c>
      <c r="F365" s="3" t="n">
        <v>998</v>
      </c>
      <c r="G365" s="4" t="s">
        <v>110</v>
      </c>
      <c r="H365" s="5"/>
      <c r="I365" s="3"/>
      <c r="J365" s="6"/>
      <c r="K365" s="6"/>
      <c r="L365" s="7"/>
      <c r="M365" s="6"/>
      <c r="N365" s="7"/>
      <c r="O365" s="3"/>
      <c r="P365" s="3"/>
      <c r="Q365" s="8"/>
      <c r="R365" s="8"/>
      <c r="S365" s="4" t="s">
        <v>84</v>
      </c>
    </row>
    <row r="366" customFormat="false" ht="14.25" hidden="false" customHeight="true" outlineLevel="0" collapsed="false">
      <c r="A366" s="3" t="s">
        <v>207</v>
      </c>
      <c r="B366" s="4" t="s">
        <v>541</v>
      </c>
      <c r="C366" s="4" t="s">
        <v>542</v>
      </c>
      <c r="D366" s="4" t="s">
        <v>78</v>
      </c>
      <c r="E366" s="3" t="s">
        <v>109</v>
      </c>
      <c r="F366" s="3" t="n">
        <v>820</v>
      </c>
      <c r="G366" s="4" t="s">
        <v>46</v>
      </c>
      <c r="H366" s="5" t="n">
        <v>240000</v>
      </c>
      <c r="I366" s="3" t="s">
        <v>25</v>
      </c>
      <c r="J366" s="6" t="n">
        <v>1247</v>
      </c>
      <c r="K366" s="6" t="n">
        <v>1411</v>
      </c>
      <c r="L366" s="7" t="n">
        <f aca="false">K366*1.35582</f>
        <v>1913.06202</v>
      </c>
      <c r="M366" s="6" t="n">
        <v>5298</v>
      </c>
      <c r="N366" s="7" t="n">
        <f aca="false">M366*0.453592</f>
        <v>2403.130416</v>
      </c>
      <c r="O366" s="3" t="s">
        <v>62</v>
      </c>
      <c r="P366" s="3" t="s">
        <v>27</v>
      </c>
      <c r="Q366" s="8" t="n">
        <f aca="false">J366/M366</f>
        <v>0.235371838429596</v>
      </c>
      <c r="R366" s="8" t="n">
        <f aca="false">J366/N366</f>
        <v>0.518906502825438</v>
      </c>
      <c r="S366" s="4" t="s">
        <v>35</v>
      </c>
    </row>
    <row r="367" customFormat="false" ht="14.25" hidden="false" customHeight="true" outlineLevel="0" collapsed="false">
      <c r="A367" s="3" t="s">
        <v>194</v>
      </c>
      <c r="B367" s="4" t="s">
        <v>543</v>
      </c>
      <c r="C367" s="4" t="s">
        <v>544</v>
      </c>
      <c r="D367" s="4" t="s">
        <v>120</v>
      </c>
      <c r="E367" s="3" t="s">
        <v>39</v>
      </c>
      <c r="F367" s="3" t="n">
        <v>591</v>
      </c>
      <c r="G367" s="4" t="s">
        <v>24</v>
      </c>
      <c r="H367" s="5" t="n">
        <v>102000</v>
      </c>
      <c r="I367" s="3" t="s">
        <v>25</v>
      </c>
      <c r="J367" s="6" t="n">
        <v>326</v>
      </c>
      <c r="K367" s="6" t="n">
        <v>273</v>
      </c>
      <c r="L367" s="7" t="n">
        <f aca="false">K367*1.35582</f>
        <v>370.13886</v>
      </c>
      <c r="M367" s="6" t="n">
        <v>3009</v>
      </c>
      <c r="N367" s="7" t="n">
        <f aca="false">M367*0.453592</f>
        <v>1364.858328</v>
      </c>
      <c r="O367" s="3" t="s">
        <v>26</v>
      </c>
      <c r="P367" s="3" t="s">
        <v>27</v>
      </c>
      <c r="Q367" s="8" t="n">
        <f aca="false">J367/M367</f>
        <v>0.108341641741442</v>
      </c>
      <c r="R367" s="8" t="n">
        <f aca="false">J367/N367</f>
        <v>0.238852629105986</v>
      </c>
      <c r="S367" s="4" t="s">
        <v>99</v>
      </c>
    </row>
    <row r="368" customFormat="false" ht="14.25" hidden="false" customHeight="true" outlineLevel="0" collapsed="false">
      <c r="A368" s="3" t="s">
        <v>431</v>
      </c>
      <c r="B368" s="4" t="s">
        <v>543</v>
      </c>
      <c r="C368" s="4" t="s">
        <v>545</v>
      </c>
      <c r="D368" s="4" t="s">
        <v>186</v>
      </c>
      <c r="E368" s="3" t="s">
        <v>54</v>
      </c>
      <c r="F368" s="3" t="n">
        <v>751</v>
      </c>
      <c r="G368" s="4" t="s">
        <v>24</v>
      </c>
      <c r="H368" s="5" t="n">
        <v>3750000</v>
      </c>
      <c r="I368" s="3" t="s">
        <v>55</v>
      </c>
      <c r="J368" s="6" t="n">
        <v>624</v>
      </c>
      <c r="K368" s="6" t="n">
        <v>480</v>
      </c>
      <c r="L368" s="7" t="n">
        <f aca="false">K368*1.35582</f>
        <v>650.7936</v>
      </c>
      <c r="M368" s="6" t="n">
        <v>3375</v>
      </c>
      <c r="N368" s="7" t="n">
        <f aca="false">M368*0.453592</f>
        <v>1530.873</v>
      </c>
      <c r="O368" s="3"/>
      <c r="P368" s="3"/>
      <c r="Q368" s="8" t="n">
        <f aca="false">J368/M368</f>
        <v>0.184888888888889</v>
      </c>
      <c r="R368" s="8" t="n">
        <f aca="false">J368/N368</f>
        <v>0.40761055946509</v>
      </c>
      <c r="S368" s="4" t="s">
        <v>28</v>
      </c>
    </row>
    <row r="369" customFormat="false" ht="14.25" hidden="false" customHeight="true" outlineLevel="0" collapsed="false">
      <c r="A369" s="3" t="s">
        <v>148</v>
      </c>
      <c r="B369" s="4" t="s">
        <v>543</v>
      </c>
      <c r="C369" s="4" t="s">
        <v>546</v>
      </c>
      <c r="D369" s="4" t="s">
        <v>103</v>
      </c>
      <c r="E369" s="3" t="s">
        <v>88</v>
      </c>
      <c r="F369" s="3" t="n">
        <v>912</v>
      </c>
      <c r="G369" s="4" t="s">
        <v>24</v>
      </c>
      <c r="H369" s="5" t="n">
        <v>3100000</v>
      </c>
      <c r="I369" s="3" t="s">
        <v>66</v>
      </c>
      <c r="J369" s="6" t="n">
        <v>756</v>
      </c>
      <c r="K369" s="6" t="n">
        <v>523</v>
      </c>
      <c r="L369" s="7" t="n">
        <f aca="false">K369*1.35582</f>
        <v>709.09386</v>
      </c>
      <c r="M369" s="6" t="n">
        <v>2646</v>
      </c>
      <c r="N369" s="7" t="n">
        <f aca="false">M369*0.453592</f>
        <v>1200.204432</v>
      </c>
      <c r="O369" s="3" t="s">
        <v>26</v>
      </c>
      <c r="P369" s="3" t="s">
        <v>67</v>
      </c>
      <c r="Q369" s="8" t="n">
        <f aca="false">J369/M369</f>
        <v>0.285714285714286</v>
      </c>
      <c r="R369" s="8" t="n">
        <f aca="false">J369/N369</f>
        <v>0.629892691481079</v>
      </c>
      <c r="S369" s="4" t="s">
        <v>35</v>
      </c>
    </row>
    <row r="370" customFormat="false" ht="14.25" hidden="false" customHeight="true" outlineLevel="0" collapsed="false">
      <c r="A370" s="3" t="s">
        <v>51</v>
      </c>
      <c r="B370" s="4" t="s">
        <v>543</v>
      </c>
      <c r="C370" s="4" t="s">
        <v>547</v>
      </c>
      <c r="D370" s="4" t="s">
        <v>53</v>
      </c>
      <c r="E370" s="3" t="s">
        <v>54</v>
      </c>
      <c r="F370" s="3" t="n">
        <v>753</v>
      </c>
      <c r="G370" s="4" t="s">
        <v>24</v>
      </c>
      <c r="H370" s="5" t="n">
        <v>220000</v>
      </c>
      <c r="I370" s="3" t="s">
        <v>55</v>
      </c>
      <c r="J370" s="6" t="n">
        <v>621</v>
      </c>
      <c r="K370" s="6" t="n">
        <v>538</v>
      </c>
      <c r="L370" s="7" t="n">
        <f aca="false">K370*1.35582</f>
        <v>729.43116</v>
      </c>
      <c r="M370" s="6" t="n">
        <v>3757</v>
      </c>
      <c r="N370" s="7" t="n">
        <f aca="false">M370*0.453592</f>
        <v>1704.145144</v>
      </c>
      <c r="O370" s="3" t="s">
        <v>26</v>
      </c>
      <c r="P370" s="3" t="s">
        <v>67</v>
      </c>
      <c r="Q370" s="8" t="n">
        <f aca="false">J370/M370</f>
        <v>0.165291455948895</v>
      </c>
      <c r="R370" s="8" t="n">
        <f aca="false">J370/N370</f>
        <v>0.364405580232666</v>
      </c>
      <c r="S370" s="4" t="s">
        <v>35</v>
      </c>
    </row>
    <row r="371" customFormat="false" ht="14.25" hidden="false" customHeight="true" outlineLevel="0" collapsed="false">
      <c r="A371" s="3" t="s">
        <v>437</v>
      </c>
      <c r="B371" s="4" t="s">
        <v>548</v>
      </c>
      <c r="C371" s="4" t="s">
        <v>549</v>
      </c>
      <c r="D371" s="4" t="s">
        <v>273</v>
      </c>
      <c r="E371" s="3" t="s">
        <v>54</v>
      </c>
      <c r="F371" s="3" t="n">
        <v>702</v>
      </c>
      <c r="G371" s="4" t="s">
        <v>168</v>
      </c>
      <c r="H371" s="5" t="n">
        <v>100000</v>
      </c>
      <c r="I371" s="3" t="s">
        <v>66</v>
      </c>
      <c r="J371" s="6" t="n">
        <v>706</v>
      </c>
      <c r="K371" s="6" t="n">
        <v>448</v>
      </c>
      <c r="L371" s="7" t="n">
        <f aca="false">K371*1.35582</f>
        <v>607.40736</v>
      </c>
      <c r="M371" s="6" t="n">
        <v>2450</v>
      </c>
      <c r="N371" s="7" t="n">
        <f aca="false">M371*0.453592</f>
        <v>1111.3004</v>
      </c>
      <c r="O371" s="3" t="s">
        <v>26</v>
      </c>
      <c r="P371" s="3" t="s">
        <v>27</v>
      </c>
      <c r="Q371" s="8" t="n">
        <f aca="false">J371/M371</f>
        <v>0.288163265306122</v>
      </c>
      <c r="R371" s="8" t="n">
        <f aca="false">J371/N371</f>
        <v>0.635291771693774</v>
      </c>
      <c r="S371" s="4" t="s">
        <v>75</v>
      </c>
    </row>
    <row r="372" customFormat="false" ht="14.25" hidden="false" customHeight="true" outlineLevel="0" collapsed="false">
      <c r="A372" s="3" t="s">
        <v>413</v>
      </c>
      <c r="B372" s="4" t="s">
        <v>548</v>
      </c>
      <c r="C372" s="4" t="s">
        <v>550</v>
      </c>
      <c r="D372" s="4" t="s">
        <v>87</v>
      </c>
      <c r="E372" s="3" t="s">
        <v>88</v>
      </c>
      <c r="F372" s="3" t="n">
        <v>988</v>
      </c>
      <c r="G372" s="4" t="s">
        <v>168</v>
      </c>
      <c r="H372" s="5"/>
      <c r="I372" s="3"/>
      <c r="J372" s="6" t="n">
        <v>690</v>
      </c>
      <c r="K372" s="6" t="n">
        <v>448</v>
      </c>
      <c r="L372" s="7" t="n">
        <f aca="false">K372*1.35582</f>
        <v>607.40736</v>
      </c>
      <c r="M372" s="6" t="n">
        <v>1830</v>
      </c>
      <c r="N372" s="7" t="n">
        <f aca="false">M372*0.453592</f>
        <v>830.07336</v>
      </c>
      <c r="O372" s="3"/>
      <c r="P372" s="3"/>
      <c r="Q372" s="8" t="n">
        <f aca="false">J372/M372</f>
        <v>0.377049180327869</v>
      </c>
      <c r="R372" s="8" t="n">
        <f aca="false">J372/N372</f>
        <v>0.831251830561096</v>
      </c>
      <c r="S372" s="4" t="s">
        <v>188</v>
      </c>
    </row>
    <row r="373" customFormat="false" ht="14.25" hidden="false" customHeight="true" outlineLevel="0" collapsed="false">
      <c r="A373" s="3" t="s">
        <v>258</v>
      </c>
      <c r="B373" s="4" t="s">
        <v>548</v>
      </c>
      <c r="C373" s="4" t="s">
        <v>551</v>
      </c>
      <c r="D373" s="4" t="s">
        <v>163</v>
      </c>
      <c r="E373" s="3" t="s">
        <v>32</v>
      </c>
      <c r="F373" s="3" t="n">
        <v>394</v>
      </c>
      <c r="G373" s="4" t="s">
        <v>168</v>
      </c>
      <c r="H373" s="5"/>
      <c r="I373" s="3"/>
      <c r="J373" s="6" t="n">
        <v>128</v>
      </c>
      <c r="K373" s="6" t="n">
        <v>103</v>
      </c>
      <c r="L373" s="7" t="n">
        <f aca="false">K373*1.35582</f>
        <v>139.64946</v>
      </c>
      <c r="M373" s="6" t="n">
        <v>2110</v>
      </c>
      <c r="N373" s="7" t="n">
        <f aca="false">M373*0.453592</f>
        <v>957.07912</v>
      </c>
      <c r="O373" s="3"/>
      <c r="P373" s="3"/>
      <c r="Q373" s="8" t="n">
        <f aca="false">J373/M373</f>
        <v>0.0606635071090047</v>
      </c>
      <c r="R373" s="8" t="n">
        <f aca="false">J373/N373</f>
        <v>0.133740249186504</v>
      </c>
      <c r="S373" s="4" t="s">
        <v>28</v>
      </c>
    </row>
    <row r="374" customFormat="false" ht="14.25" hidden="false" customHeight="true" outlineLevel="0" collapsed="false">
      <c r="A374" s="3" t="s">
        <v>196</v>
      </c>
      <c r="B374" s="4" t="s">
        <v>548</v>
      </c>
      <c r="C374" s="4" t="s">
        <v>552</v>
      </c>
      <c r="D374" s="4" t="s">
        <v>103</v>
      </c>
      <c r="E374" s="3" t="s">
        <v>88</v>
      </c>
      <c r="F374" s="3" t="n">
        <v>926</v>
      </c>
      <c r="G374" s="4" t="s">
        <v>168</v>
      </c>
      <c r="H374" s="5" t="n">
        <v>353000</v>
      </c>
      <c r="I374" s="3" t="s">
        <v>66</v>
      </c>
      <c r="J374" s="6" t="n">
        <v>458</v>
      </c>
      <c r="K374" s="6" t="n">
        <v>278</v>
      </c>
      <c r="L374" s="7" t="n">
        <f aca="false">K374*1.35582</f>
        <v>376.91796</v>
      </c>
      <c r="M374" s="6" t="n">
        <v>1488</v>
      </c>
      <c r="N374" s="7" t="n">
        <f aca="false">M374*0.453592</f>
        <v>674.944896</v>
      </c>
      <c r="O374" s="3"/>
      <c r="P374" s="3"/>
      <c r="Q374" s="8" t="n">
        <f aca="false">J374/M374</f>
        <v>0.307795698924731</v>
      </c>
      <c r="R374" s="8" t="n">
        <f aca="false">J374/N374</f>
        <v>0.678573914276996</v>
      </c>
      <c r="S374" s="4" t="s">
        <v>28</v>
      </c>
    </row>
    <row r="375" customFormat="false" ht="14.25" hidden="false" customHeight="true" outlineLevel="0" collapsed="false">
      <c r="A375" s="3" t="s">
        <v>159</v>
      </c>
      <c r="B375" s="4" t="s">
        <v>548</v>
      </c>
      <c r="C375" s="4" t="s">
        <v>553</v>
      </c>
      <c r="D375" s="4" t="s">
        <v>22</v>
      </c>
      <c r="E375" s="3" t="s">
        <v>39</v>
      </c>
      <c r="F375" s="3" t="n">
        <v>536</v>
      </c>
      <c r="G375" s="4" t="s">
        <v>168</v>
      </c>
      <c r="H375" s="5" t="n">
        <v>25000</v>
      </c>
      <c r="I375" s="3" t="s">
        <v>33</v>
      </c>
      <c r="J375" s="6" t="n">
        <v>263</v>
      </c>
      <c r="K375" s="6" t="n">
        <v>280</v>
      </c>
      <c r="L375" s="7" t="n">
        <f aca="false">K375*1.35582</f>
        <v>379.6296</v>
      </c>
      <c r="M375" s="6" t="n">
        <v>3221</v>
      </c>
      <c r="N375" s="7" t="n">
        <f aca="false">M375*0.453592</f>
        <v>1461.019832</v>
      </c>
      <c r="O375" s="3" t="s">
        <v>47</v>
      </c>
      <c r="P375" s="3" t="s">
        <v>27</v>
      </c>
      <c r="Q375" s="8" t="n">
        <f aca="false">J375/M375</f>
        <v>0.0816516609748525</v>
      </c>
      <c r="R375" s="8" t="n">
        <f aca="false">J375/N375</f>
        <v>0.180011245733727</v>
      </c>
      <c r="S375" s="4" t="s">
        <v>35</v>
      </c>
    </row>
    <row r="376" customFormat="false" ht="14.25" hidden="false" customHeight="true" outlineLevel="0" collapsed="false">
      <c r="A376" s="3" t="s">
        <v>195</v>
      </c>
      <c r="B376" s="4" t="s">
        <v>548</v>
      </c>
      <c r="C376" s="4" t="s">
        <v>554</v>
      </c>
      <c r="D376" s="4" t="s">
        <v>22</v>
      </c>
      <c r="E376" s="3" t="s">
        <v>23</v>
      </c>
      <c r="F376" s="3" t="n">
        <v>469</v>
      </c>
      <c r="G376" s="4" t="s">
        <v>168</v>
      </c>
      <c r="H376" s="5" t="n">
        <v>21000</v>
      </c>
      <c r="I376" s="3" t="s">
        <v>33</v>
      </c>
      <c r="J376" s="6" t="n">
        <v>178</v>
      </c>
      <c r="K376" s="6" t="n">
        <v>166</v>
      </c>
      <c r="L376" s="7" t="n">
        <f aca="false">K376*1.35582</f>
        <v>225.06612</v>
      </c>
      <c r="M376" s="6" t="n">
        <v>2529</v>
      </c>
      <c r="N376" s="7" t="n">
        <f aca="false">M376*0.453592</f>
        <v>1147.134168</v>
      </c>
      <c r="O376" s="3" t="s">
        <v>26</v>
      </c>
      <c r="P376" s="3" t="s">
        <v>27</v>
      </c>
      <c r="Q376" s="8" t="n">
        <f aca="false">J376/M376</f>
        <v>0.0703835508105971</v>
      </c>
      <c r="R376" s="8" t="n">
        <f aca="false">J376/N376</f>
        <v>0.155169294896288</v>
      </c>
      <c r="S376" s="4" t="s">
        <v>35</v>
      </c>
    </row>
    <row r="377" customFormat="false" ht="14.25" hidden="false" customHeight="true" outlineLevel="0" collapsed="false">
      <c r="A377" s="3" t="s">
        <v>106</v>
      </c>
      <c r="B377" s="4" t="s">
        <v>548</v>
      </c>
      <c r="C377" s="4" t="s">
        <v>555</v>
      </c>
      <c r="D377" s="4" t="s">
        <v>171</v>
      </c>
      <c r="E377" s="3" t="s">
        <v>23</v>
      </c>
      <c r="F377" s="3" t="n">
        <v>432</v>
      </c>
      <c r="G377" s="4" t="s">
        <v>168</v>
      </c>
      <c r="H377" s="5" t="n">
        <v>28000</v>
      </c>
      <c r="I377" s="3" t="s">
        <v>33</v>
      </c>
      <c r="J377" s="6" t="n">
        <v>167</v>
      </c>
      <c r="K377" s="6" t="n">
        <v>140</v>
      </c>
      <c r="L377" s="7" t="n">
        <f aca="false">K377*1.35582</f>
        <v>189.8148</v>
      </c>
      <c r="M377" s="6" t="n">
        <v>2593</v>
      </c>
      <c r="N377" s="7" t="n">
        <f aca="false">M377*0.453592</f>
        <v>1176.164056</v>
      </c>
      <c r="O377" s="3" t="s">
        <v>26</v>
      </c>
      <c r="P377" s="3" t="s">
        <v>27</v>
      </c>
      <c r="Q377" s="8" t="n">
        <f aca="false">J377/M377</f>
        <v>0.0644041650597763</v>
      </c>
      <c r="R377" s="8" t="n">
        <f aca="false">J377/N377</f>
        <v>0.14198699505233</v>
      </c>
      <c r="S377" s="4" t="s">
        <v>35</v>
      </c>
    </row>
    <row r="378" customFormat="false" ht="14.25" hidden="false" customHeight="true" outlineLevel="0" collapsed="false">
      <c r="A378" s="3" t="s">
        <v>36</v>
      </c>
      <c r="B378" s="4" t="s">
        <v>548</v>
      </c>
      <c r="C378" s="4" t="s">
        <v>555</v>
      </c>
      <c r="D378" s="4" t="s">
        <v>120</v>
      </c>
      <c r="E378" s="3" t="s">
        <v>23</v>
      </c>
      <c r="F378" s="3" t="n">
        <v>499</v>
      </c>
      <c r="G378" s="4" t="s">
        <v>168</v>
      </c>
      <c r="H378" s="5" t="n">
        <v>18000</v>
      </c>
      <c r="I378" s="3" t="s">
        <v>55</v>
      </c>
      <c r="J378" s="6" t="n">
        <v>155</v>
      </c>
      <c r="K378" s="6" t="n">
        <v>148</v>
      </c>
      <c r="L378" s="7" t="n">
        <f aca="false">K378*1.35582</f>
        <v>200.66136</v>
      </c>
      <c r="M378" s="6" t="n">
        <v>2310</v>
      </c>
      <c r="N378" s="7" t="n">
        <f aca="false">M378*0.453592</f>
        <v>1047.79752</v>
      </c>
      <c r="O378" s="3" t="s">
        <v>26</v>
      </c>
      <c r="P378" s="3" t="s">
        <v>27</v>
      </c>
      <c r="Q378" s="8" t="n">
        <f aca="false">J378/M378</f>
        <v>0.0670995670995671</v>
      </c>
      <c r="R378" s="8" t="n">
        <f aca="false">J378/N378</f>
        <v>0.147929344211466</v>
      </c>
      <c r="S378" s="4" t="s">
        <v>63</v>
      </c>
    </row>
    <row r="379" customFormat="false" ht="14.25" hidden="false" customHeight="true" outlineLevel="0" collapsed="false">
      <c r="A379" s="3" t="s">
        <v>19</v>
      </c>
      <c r="B379" s="4" t="s">
        <v>548</v>
      </c>
      <c r="C379" s="4" t="s">
        <v>556</v>
      </c>
      <c r="D379" s="4" t="s">
        <v>120</v>
      </c>
      <c r="E379" s="3" t="s">
        <v>39</v>
      </c>
      <c r="F379" s="3" t="n">
        <v>586</v>
      </c>
      <c r="G379" s="4" t="s">
        <v>168</v>
      </c>
      <c r="H379" s="5" t="n">
        <v>60000</v>
      </c>
      <c r="I379" s="3" t="s">
        <v>55</v>
      </c>
      <c r="J379" s="6" t="n">
        <v>181</v>
      </c>
      <c r="K379" s="6" t="n">
        <v>151</v>
      </c>
      <c r="L379" s="7" t="n">
        <f aca="false">K379*1.35582</f>
        <v>204.72882</v>
      </c>
      <c r="M379" s="6" t="n">
        <v>2374</v>
      </c>
      <c r="N379" s="7" t="n">
        <f aca="false">M379*0.453592</f>
        <v>1076.827408</v>
      </c>
      <c r="O379" s="3" t="s">
        <v>26</v>
      </c>
      <c r="P379" s="3" t="s">
        <v>27</v>
      </c>
      <c r="Q379" s="8" t="n">
        <f aca="false">J379/M379</f>
        <v>0.0762426284751474</v>
      </c>
      <c r="R379" s="8" t="n">
        <f aca="false">J379/N379</f>
        <v>0.168086360595309</v>
      </c>
      <c r="S379" s="4" t="s">
        <v>99</v>
      </c>
    </row>
    <row r="380" customFormat="false" ht="14.25" hidden="false" customHeight="true" outlineLevel="0" collapsed="false">
      <c r="A380" s="3" t="s">
        <v>322</v>
      </c>
      <c r="B380" s="4" t="s">
        <v>548</v>
      </c>
      <c r="C380" s="4" t="s">
        <v>557</v>
      </c>
      <c r="D380" s="4" t="s">
        <v>22</v>
      </c>
      <c r="E380" s="3" t="s">
        <v>32</v>
      </c>
      <c r="F380" s="3" t="n">
        <v>329</v>
      </c>
      <c r="G380" s="4" t="s">
        <v>168</v>
      </c>
      <c r="H380" s="5" t="n">
        <v>15000</v>
      </c>
      <c r="I380" s="3" t="s">
        <v>33</v>
      </c>
      <c r="J380" s="6" t="n">
        <v>128</v>
      </c>
      <c r="K380" s="6" t="n">
        <v>110</v>
      </c>
      <c r="L380" s="7" t="n">
        <f aca="false">K380*1.35582</f>
        <v>149.1402</v>
      </c>
      <c r="M380" s="6" t="n">
        <v>2330</v>
      </c>
      <c r="N380" s="7" t="n">
        <f aca="false">M380*0.453592</f>
        <v>1056.86936</v>
      </c>
      <c r="O380" s="3" t="s">
        <v>26</v>
      </c>
      <c r="P380" s="3" t="s">
        <v>27</v>
      </c>
      <c r="Q380" s="8" t="n">
        <f aca="false">J380/M380</f>
        <v>0.0549356223175966</v>
      </c>
      <c r="R380" s="8" t="n">
        <f aca="false">J380/N380</f>
        <v>0.121112414499366</v>
      </c>
      <c r="S380" s="4" t="s">
        <v>35</v>
      </c>
    </row>
    <row r="381" customFormat="false" ht="14.25" hidden="false" customHeight="true" outlineLevel="0" collapsed="false">
      <c r="A381" s="3" t="s">
        <v>322</v>
      </c>
      <c r="B381" s="4" t="s">
        <v>548</v>
      </c>
      <c r="C381" s="4" t="s">
        <v>558</v>
      </c>
      <c r="D381" s="4" t="s">
        <v>163</v>
      </c>
      <c r="E381" s="3" t="s">
        <v>109</v>
      </c>
      <c r="F381" s="3" t="n">
        <v>850</v>
      </c>
      <c r="G381" s="4" t="s">
        <v>168</v>
      </c>
      <c r="H381" s="5"/>
      <c r="I381" s="3"/>
      <c r="J381" s="6" t="n">
        <v>1000</v>
      </c>
      <c r="K381" s="6" t="n">
        <v>884</v>
      </c>
      <c r="L381" s="7" t="n">
        <f aca="false">K381*1.35582</f>
        <v>1198.54488</v>
      </c>
      <c r="M381" s="6" t="n">
        <v>2094</v>
      </c>
      <c r="N381" s="7" t="n">
        <f aca="false">M381*0.453592</f>
        <v>949.821648</v>
      </c>
      <c r="O381" s="3"/>
      <c r="P381" s="3"/>
      <c r="Q381" s="8" t="n">
        <f aca="false">J381/M381</f>
        <v>0.477554918815664</v>
      </c>
      <c r="R381" s="8" t="n">
        <f aca="false">J381/N381</f>
        <v>1.05282923599989</v>
      </c>
      <c r="S381" s="4" t="s">
        <v>559</v>
      </c>
    </row>
    <row r="382" customFormat="false" ht="14.25" hidden="false" customHeight="true" outlineLevel="0" collapsed="false">
      <c r="A382" s="3" t="s">
        <v>51</v>
      </c>
      <c r="B382" s="4" t="s">
        <v>548</v>
      </c>
      <c r="C382" s="4" t="s">
        <v>560</v>
      </c>
      <c r="D382" s="4" t="s">
        <v>163</v>
      </c>
      <c r="E382" s="3" t="s">
        <v>39</v>
      </c>
      <c r="F382" s="3" t="n">
        <v>509</v>
      </c>
      <c r="G382" s="4" t="s">
        <v>168</v>
      </c>
      <c r="H382" s="5" t="n">
        <v>29000</v>
      </c>
      <c r="I382" s="3" t="s">
        <v>55</v>
      </c>
      <c r="J382" s="6" t="n">
        <v>181</v>
      </c>
      <c r="K382" s="6" t="n">
        <v>151</v>
      </c>
      <c r="L382" s="7" t="n">
        <f aca="false">K382*1.35582</f>
        <v>204.72882</v>
      </c>
      <c r="M382" s="6" t="n">
        <v>2452</v>
      </c>
      <c r="N382" s="7" t="n">
        <f aca="false">M382*0.453592</f>
        <v>1112.207584</v>
      </c>
      <c r="O382" s="3" t="s">
        <v>26</v>
      </c>
      <c r="P382" s="3" t="s">
        <v>27</v>
      </c>
      <c r="Q382" s="8" t="n">
        <f aca="false">J382/M382</f>
        <v>0.0738172920065253</v>
      </c>
      <c r="R382" s="8" t="n">
        <f aca="false">J382/N382</f>
        <v>0.162739404589422</v>
      </c>
      <c r="S382" s="4" t="s">
        <v>35</v>
      </c>
    </row>
    <row r="383" customFormat="false" ht="14.25" hidden="false" customHeight="true" outlineLevel="0" collapsed="false">
      <c r="A383" s="3" t="s">
        <v>175</v>
      </c>
      <c r="B383" s="4" t="s">
        <v>548</v>
      </c>
      <c r="C383" s="4" t="s">
        <v>561</v>
      </c>
      <c r="D383" s="4" t="s">
        <v>120</v>
      </c>
      <c r="E383" s="3" t="s">
        <v>32</v>
      </c>
      <c r="F383" s="3" t="n">
        <v>328</v>
      </c>
      <c r="G383" s="4" t="s">
        <v>168</v>
      </c>
      <c r="H383" s="5" t="n">
        <v>73000</v>
      </c>
      <c r="I383" s="3" t="s">
        <v>33</v>
      </c>
      <c r="J383" s="6" t="n">
        <v>110</v>
      </c>
      <c r="K383" s="6" t="n">
        <v>100</v>
      </c>
      <c r="L383" s="7" t="n">
        <f aca="false">K383*1.35582</f>
        <v>135.582</v>
      </c>
      <c r="M383" s="6" t="n">
        <v>2060</v>
      </c>
      <c r="N383" s="7" t="n">
        <f aca="false">M383*0.453592</f>
        <v>934.39952</v>
      </c>
      <c r="O383" s="3" t="s">
        <v>26</v>
      </c>
      <c r="P383" s="3" t="s">
        <v>27</v>
      </c>
      <c r="Q383" s="8" t="n">
        <f aca="false">J383/M383</f>
        <v>0.0533980582524272</v>
      </c>
      <c r="R383" s="8" t="n">
        <f aca="false">J383/N383</f>
        <v>0.117722663213697</v>
      </c>
      <c r="S383" s="4" t="s">
        <v>35</v>
      </c>
    </row>
    <row r="384" customFormat="false" ht="14.25" hidden="false" customHeight="true" outlineLevel="0" collapsed="false">
      <c r="A384" s="3" t="s">
        <v>175</v>
      </c>
      <c r="B384" s="4" t="s">
        <v>548</v>
      </c>
      <c r="C384" s="4" t="s">
        <v>562</v>
      </c>
      <c r="D384" s="4" t="s">
        <v>120</v>
      </c>
      <c r="E384" s="3" t="s">
        <v>39</v>
      </c>
      <c r="F384" s="3" t="n">
        <v>600</v>
      </c>
      <c r="G384" s="4" t="s">
        <v>168</v>
      </c>
      <c r="H384" s="5"/>
      <c r="I384" s="3"/>
      <c r="J384" s="6" t="n">
        <v>236</v>
      </c>
      <c r="K384" s="6" t="n">
        <v>155</v>
      </c>
      <c r="L384" s="7" t="n">
        <f aca="false">K384*1.35582</f>
        <v>210.1521</v>
      </c>
      <c r="M384" s="6" t="n">
        <v>1786</v>
      </c>
      <c r="N384" s="7" t="n">
        <f aca="false">M384*0.453592</f>
        <v>810.115312</v>
      </c>
      <c r="O384" s="3"/>
      <c r="P384" s="3"/>
      <c r="Q384" s="8" t="n">
        <f aca="false">J384/M384</f>
        <v>0.132138857782755</v>
      </c>
      <c r="R384" s="8" t="n">
        <f aca="false">J384/N384</f>
        <v>0.291316552723052</v>
      </c>
      <c r="S384" s="4" t="s">
        <v>559</v>
      </c>
    </row>
    <row r="385" customFormat="false" ht="14.25" hidden="false" customHeight="true" outlineLevel="0" collapsed="false">
      <c r="A385" s="3" t="s">
        <v>384</v>
      </c>
      <c r="B385" s="4" t="s">
        <v>548</v>
      </c>
      <c r="C385" s="4" t="s">
        <v>563</v>
      </c>
      <c r="D385" s="4" t="s">
        <v>22</v>
      </c>
      <c r="E385" s="3" t="s">
        <v>32</v>
      </c>
      <c r="F385" s="3" t="n">
        <v>357</v>
      </c>
      <c r="G385" s="4" t="s">
        <v>168</v>
      </c>
      <c r="H385" s="5" t="n">
        <v>30000</v>
      </c>
      <c r="I385" s="3" t="s">
        <v>187</v>
      </c>
      <c r="J385" s="6"/>
      <c r="K385" s="6"/>
      <c r="L385" s="7"/>
      <c r="M385" s="6"/>
      <c r="N385" s="7"/>
      <c r="O385" s="3"/>
      <c r="P385" s="3"/>
      <c r="Q385" s="8"/>
      <c r="R385" s="8"/>
      <c r="S385" s="4" t="s">
        <v>188</v>
      </c>
    </row>
    <row r="386" customFormat="false" ht="14.25" hidden="false" customHeight="true" outlineLevel="0" collapsed="false">
      <c r="A386" s="3" t="s">
        <v>58</v>
      </c>
      <c r="B386" s="4" t="s">
        <v>548</v>
      </c>
      <c r="C386" s="4" t="s">
        <v>564</v>
      </c>
      <c r="D386" s="4" t="s">
        <v>120</v>
      </c>
      <c r="E386" s="3" t="s">
        <v>39</v>
      </c>
      <c r="F386" s="3" t="n">
        <v>548</v>
      </c>
      <c r="G386" s="4" t="s">
        <v>168</v>
      </c>
      <c r="H386" s="5" t="n">
        <v>40000</v>
      </c>
      <c r="I386" s="3" t="s">
        <v>25</v>
      </c>
      <c r="J386" s="6" t="n">
        <v>252</v>
      </c>
      <c r="K386" s="6" t="n">
        <v>217</v>
      </c>
      <c r="L386" s="7" t="n">
        <f aca="false">K386*1.35582</f>
        <v>294.21294</v>
      </c>
      <c r="M386" s="6" t="n">
        <v>2778</v>
      </c>
      <c r="N386" s="7" t="n">
        <f aca="false">M386*0.453592</f>
        <v>1260.078576</v>
      </c>
      <c r="O386" s="3" t="s">
        <v>26</v>
      </c>
      <c r="P386" s="3" t="s">
        <v>27</v>
      </c>
      <c r="Q386" s="8" t="n">
        <f aca="false">J386/M386</f>
        <v>0.0907127429805616</v>
      </c>
      <c r="R386" s="8" t="n">
        <f aca="false">J386/N386</f>
        <v>0.199987528396801</v>
      </c>
      <c r="S386" s="4" t="s">
        <v>99</v>
      </c>
    </row>
    <row r="387" customFormat="false" ht="14.25" hidden="false" customHeight="true" outlineLevel="0" collapsed="false">
      <c r="A387" s="3" t="s">
        <v>145</v>
      </c>
      <c r="B387" s="4" t="s">
        <v>548</v>
      </c>
      <c r="C387" s="4" t="s">
        <v>565</v>
      </c>
      <c r="D387" s="4" t="s">
        <v>38</v>
      </c>
      <c r="E387" s="3" t="s">
        <v>39</v>
      </c>
      <c r="F387" s="3" t="n">
        <v>508</v>
      </c>
      <c r="G387" s="4" t="s">
        <v>168</v>
      </c>
      <c r="H387" s="5" t="n">
        <v>33000</v>
      </c>
      <c r="I387" s="3" t="s">
        <v>25</v>
      </c>
      <c r="J387" s="6" t="n">
        <v>232</v>
      </c>
      <c r="K387" s="6" t="n">
        <v>159</v>
      </c>
      <c r="L387" s="7" t="n">
        <f aca="false">K387*1.35582</f>
        <v>215.57538</v>
      </c>
      <c r="M387" s="6" t="n">
        <v>3065</v>
      </c>
      <c r="N387" s="7" t="n">
        <f aca="false">M387*0.453592</f>
        <v>1390.25948</v>
      </c>
      <c r="O387" s="3" t="s">
        <v>26</v>
      </c>
      <c r="P387" s="3" t="s">
        <v>27</v>
      </c>
      <c r="Q387" s="8" t="n">
        <f aca="false">J387/M387</f>
        <v>0.0756933115823817</v>
      </c>
      <c r="R387" s="8" t="n">
        <f aca="false">J387/N387</f>
        <v>0.166875323159098</v>
      </c>
      <c r="S387" s="4" t="s">
        <v>35</v>
      </c>
    </row>
    <row r="388" customFormat="false" ht="14.25" hidden="false" customHeight="true" outlineLevel="0" collapsed="false">
      <c r="A388" s="3" t="s">
        <v>85</v>
      </c>
      <c r="B388" s="4" t="s">
        <v>548</v>
      </c>
      <c r="C388" s="4" t="s">
        <v>566</v>
      </c>
      <c r="D388" s="4" t="s">
        <v>120</v>
      </c>
      <c r="E388" s="3" t="s">
        <v>23</v>
      </c>
      <c r="F388" s="3" t="n">
        <v>451</v>
      </c>
      <c r="G388" s="4" t="s">
        <v>168</v>
      </c>
      <c r="H388" s="5" t="n">
        <v>23000</v>
      </c>
      <c r="I388" s="3" t="s">
        <v>55</v>
      </c>
      <c r="J388" s="6" t="n">
        <v>200</v>
      </c>
      <c r="K388" s="6" t="n">
        <v>196</v>
      </c>
      <c r="L388" s="7" t="n">
        <f aca="false">K388*1.35582</f>
        <v>265.74072</v>
      </c>
      <c r="M388" s="6" t="n">
        <v>2981</v>
      </c>
      <c r="N388" s="7" t="n">
        <f aca="false">M388*0.453592</f>
        <v>1352.157752</v>
      </c>
      <c r="O388" s="3" t="s">
        <v>26</v>
      </c>
      <c r="P388" s="3" t="s">
        <v>27</v>
      </c>
      <c r="Q388" s="8" t="n">
        <f aca="false">J388/M388</f>
        <v>0.0670915800067092</v>
      </c>
      <c r="R388" s="8" t="n">
        <f aca="false">J388/N388</f>
        <v>0.147911735671505</v>
      </c>
      <c r="S388" s="4" t="s">
        <v>35</v>
      </c>
    </row>
    <row r="389" customFormat="false" ht="14.25" hidden="false" customHeight="true" outlineLevel="0" collapsed="false">
      <c r="A389" s="3" t="s">
        <v>145</v>
      </c>
      <c r="B389" s="4" t="s">
        <v>567</v>
      </c>
      <c r="C389" s="4" t="s">
        <v>568</v>
      </c>
      <c r="D389" s="4" t="s">
        <v>53</v>
      </c>
      <c r="E389" s="3" t="s">
        <v>54</v>
      </c>
      <c r="F389" s="3" t="n">
        <v>727</v>
      </c>
      <c r="G389" s="4" t="s">
        <v>110</v>
      </c>
      <c r="H389" s="5" t="n">
        <v>105000</v>
      </c>
      <c r="I389" s="3" t="s">
        <v>55</v>
      </c>
      <c r="J389" s="6" t="n">
        <v>592</v>
      </c>
      <c r="K389" s="6" t="n">
        <v>442</v>
      </c>
      <c r="L389" s="7" t="n">
        <f aca="false">K389*1.35582</f>
        <v>599.27244</v>
      </c>
      <c r="M389" s="6" t="n">
        <v>3161</v>
      </c>
      <c r="N389" s="7" t="n">
        <f aca="false">M389*0.453592</f>
        <v>1433.804312</v>
      </c>
      <c r="O389" s="3" t="s">
        <v>26</v>
      </c>
      <c r="P389" s="3" t="s">
        <v>67</v>
      </c>
      <c r="Q389" s="8" t="n">
        <f aca="false">J389/M389</f>
        <v>0.187282505536223</v>
      </c>
      <c r="R389" s="8" t="n">
        <f aca="false">J389/N389</f>
        <v>0.41288758517836</v>
      </c>
      <c r="S389" s="4" t="s">
        <v>35</v>
      </c>
    </row>
    <row r="390" customFormat="false" ht="14.25" hidden="false" customHeight="true" outlineLevel="0" collapsed="false">
      <c r="A390" s="3" t="s">
        <v>94</v>
      </c>
      <c r="B390" s="4" t="s">
        <v>567</v>
      </c>
      <c r="C390" s="4" t="s">
        <v>569</v>
      </c>
      <c r="D390" s="4" t="s">
        <v>53</v>
      </c>
      <c r="E390" s="3" t="s">
        <v>54</v>
      </c>
      <c r="F390" s="3" t="n">
        <v>721</v>
      </c>
      <c r="G390" s="4" t="s">
        <v>110</v>
      </c>
      <c r="H390" s="5" t="n">
        <v>130000</v>
      </c>
      <c r="I390" s="3" t="s">
        <v>55</v>
      </c>
      <c r="J390" s="6" t="n">
        <v>562</v>
      </c>
      <c r="K390" s="6" t="n">
        <v>442</v>
      </c>
      <c r="L390" s="7" t="n">
        <f aca="false">K390*1.35582</f>
        <v>599.27244</v>
      </c>
      <c r="M390" s="6" t="n">
        <v>3201</v>
      </c>
      <c r="N390" s="7" t="n">
        <f aca="false">M390*0.453592</f>
        <v>1451.947992</v>
      </c>
      <c r="O390" s="3" t="s">
        <v>26</v>
      </c>
      <c r="P390" s="3" t="s">
        <v>67</v>
      </c>
      <c r="Q390" s="8" t="n">
        <f aca="false">J390/M390</f>
        <v>0.175570134333021</v>
      </c>
      <c r="R390" s="8" t="n">
        <f aca="false">J390/N390</f>
        <v>0.387066205605524</v>
      </c>
      <c r="S390" s="4" t="s">
        <v>35</v>
      </c>
    </row>
    <row r="391" customFormat="false" ht="14.25" hidden="false" customHeight="true" outlineLevel="0" collapsed="false">
      <c r="A391" s="3" t="s">
        <v>100</v>
      </c>
      <c r="B391" s="4" t="s">
        <v>567</v>
      </c>
      <c r="C391" s="4" t="s">
        <v>570</v>
      </c>
      <c r="D391" s="4" t="s">
        <v>171</v>
      </c>
      <c r="E391" s="3" t="s">
        <v>54</v>
      </c>
      <c r="F391" s="3" t="n">
        <v>780</v>
      </c>
      <c r="G391" s="4" t="s">
        <v>110</v>
      </c>
      <c r="H391" s="5" t="n">
        <v>260000</v>
      </c>
      <c r="I391" s="3" t="s">
        <v>55</v>
      </c>
      <c r="J391" s="6" t="n">
        <v>591</v>
      </c>
      <c r="K391" s="6" t="n">
        <v>457</v>
      </c>
      <c r="L391" s="7" t="n">
        <f aca="false">K391*1.35582</f>
        <v>619.60974</v>
      </c>
      <c r="M391" s="6" t="n">
        <v>2989</v>
      </c>
      <c r="N391" s="7" t="n">
        <f aca="false">M391*0.453592</f>
        <v>1355.786488</v>
      </c>
      <c r="O391" s="3" t="s">
        <v>26</v>
      </c>
      <c r="P391" s="3" t="s">
        <v>67</v>
      </c>
      <c r="Q391" s="8" t="n">
        <f aca="false">J391/M391</f>
        <v>0.197724991635999</v>
      </c>
      <c r="R391" s="8" t="n">
        <f aca="false">J391/N391</f>
        <v>0.435909345041356</v>
      </c>
      <c r="S391" s="4" t="s">
        <v>63</v>
      </c>
    </row>
    <row r="392" customFormat="false" ht="14.25" hidden="false" customHeight="true" outlineLevel="0" collapsed="false">
      <c r="A392" s="3" t="s">
        <v>76</v>
      </c>
      <c r="B392" s="4" t="s">
        <v>567</v>
      </c>
      <c r="C392" s="4" t="s">
        <v>571</v>
      </c>
      <c r="D392" s="4" t="s">
        <v>171</v>
      </c>
      <c r="E392" s="3" t="s">
        <v>54</v>
      </c>
      <c r="F392" s="3" t="n">
        <v>773</v>
      </c>
      <c r="G392" s="4" t="s">
        <v>110</v>
      </c>
      <c r="H392" s="5"/>
      <c r="I392" s="3"/>
      <c r="J392" s="6" t="n">
        <v>612</v>
      </c>
      <c r="K392" s="6" t="n">
        <v>457</v>
      </c>
      <c r="L392" s="7" t="n">
        <f aca="false">K392*1.35582</f>
        <v>619.60974</v>
      </c>
      <c r="M392" s="6" t="n">
        <v>3131</v>
      </c>
      <c r="N392" s="7" t="n">
        <f aca="false">M392*0.453592</f>
        <v>1420.196552</v>
      </c>
      <c r="O392" s="3"/>
      <c r="P392" s="3"/>
      <c r="Q392" s="8" t="n">
        <f aca="false">J392/M392</f>
        <v>0.195464707761099</v>
      </c>
      <c r="R392" s="8" t="n">
        <f aca="false">J392/N392</f>
        <v>0.430926268014204</v>
      </c>
      <c r="S392" s="4" t="s">
        <v>105</v>
      </c>
    </row>
    <row r="393" customFormat="false" ht="14.25" hidden="false" customHeight="true" outlineLevel="0" collapsed="false">
      <c r="A393" s="3" t="s">
        <v>68</v>
      </c>
      <c r="B393" s="4" t="s">
        <v>567</v>
      </c>
      <c r="C393" s="4" t="s">
        <v>572</v>
      </c>
      <c r="D393" s="4" t="s">
        <v>53</v>
      </c>
      <c r="E393" s="3" t="s">
        <v>54</v>
      </c>
      <c r="F393" s="3" t="n">
        <v>765</v>
      </c>
      <c r="G393" s="4" t="s">
        <v>110</v>
      </c>
      <c r="H393" s="5" t="n">
        <v>130000</v>
      </c>
      <c r="I393" s="3" t="s">
        <v>55</v>
      </c>
      <c r="J393" s="6" t="n">
        <v>641</v>
      </c>
      <c r="K393" s="6" t="n">
        <v>500</v>
      </c>
      <c r="L393" s="7" t="n">
        <f aca="false">K393*1.35582</f>
        <v>677.91</v>
      </c>
      <c r="M393" s="6" t="n">
        <v>3236</v>
      </c>
      <c r="N393" s="7" t="n">
        <f aca="false">M393*0.453592</f>
        <v>1467.823712</v>
      </c>
      <c r="O393" s="3" t="s">
        <v>26</v>
      </c>
      <c r="P393" s="3" t="s">
        <v>67</v>
      </c>
      <c r="Q393" s="8" t="n">
        <f aca="false">J393/M393</f>
        <v>0.198084054388134</v>
      </c>
      <c r="R393" s="8" t="n">
        <f aca="false">J393/N393</f>
        <v>0.436700943553091</v>
      </c>
      <c r="S393" s="4" t="s">
        <v>35</v>
      </c>
    </row>
    <row r="394" customFormat="false" ht="14.25" hidden="false" customHeight="true" outlineLevel="0" collapsed="false">
      <c r="A394" s="3" t="s">
        <v>76</v>
      </c>
      <c r="B394" s="4" t="s">
        <v>567</v>
      </c>
      <c r="C394" s="4" t="s">
        <v>573</v>
      </c>
      <c r="D394" s="4" t="s">
        <v>171</v>
      </c>
      <c r="E394" s="3" t="s">
        <v>109</v>
      </c>
      <c r="F394" s="3" t="n">
        <v>829</v>
      </c>
      <c r="G394" s="4" t="s">
        <v>110</v>
      </c>
      <c r="H394" s="5" t="n">
        <v>358000</v>
      </c>
      <c r="I394" s="3" t="s">
        <v>55</v>
      </c>
      <c r="J394" s="6" t="n">
        <v>755</v>
      </c>
      <c r="K394" s="6" t="n">
        <v>590</v>
      </c>
      <c r="L394" s="7" t="n">
        <f aca="false">K394*1.35582</f>
        <v>799.9338</v>
      </c>
      <c r="M394" s="6" t="n">
        <v>2952</v>
      </c>
      <c r="N394" s="7" t="n">
        <f aca="false">M394*0.453592</f>
        <v>1339.003584</v>
      </c>
      <c r="O394" s="3" t="s">
        <v>26</v>
      </c>
      <c r="P394" s="3" t="s">
        <v>67</v>
      </c>
      <c r="Q394" s="8" t="n">
        <f aca="false">J394/M394</f>
        <v>0.255758807588076</v>
      </c>
      <c r="R394" s="8" t="n">
        <f aca="false">J394/N394</f>
        <v>0.563852112885756</v>
      </c>
      <c r="S394" s="4" t="s">
        <v>35</v>
      </c>
    </row>
    <row r="395" customFormat="false" ht="14.25" hidden="false" customHeight="true" outlineLevel="0" collapsed="false">
      <c r="A395" s="3" t="s">
        <v>43</v>
      </c>
      <c r="B395" s="4" t="s">
        <v>567</v>
      </c>
      <c r="C395" s="4" t="s">
        <v>574</v>
      </c>
      <c r="D395" s="4" t="s">
        <v>53</v>
      </c>
      <c r="E395" s="3" t="s">
        <v>54</v>
      </c>
      <c r="F395" s="3" t="n">
        <v>766</v>
      </c>
      <c r="G395" s="4" t="s">
        <v>110</v>
      </c>
      <c r="H395" s="5" t="n">
        <v>220000</v>
      </c>
      <c r="I395" s="3" t="s">
        <v>55</v>
      </c>
      <c r="J395" s="6" t="n">
        <v>670</v>
      </c>
      <c r="K395" s="6" t="n">
        <v>531</v>
      </c>
      <c r="L395" s="7" t="n">
        <f aca="false">K395*1.35582</f>
        <v>719.94042</v>
      </c>
      <c r="M395" s="6" t="n">
        <v>3384</v>
      </c>
      <c r="N395" s="7" t="n">
        <f aca="false">M395*0.453592</f>
        <v>1534.955328</v>
      </c>
      <c r="O395" s="3" t="s">
        <v>26</v>
      </c>
      <c r="P395" s="3" t="s">
        <v>67</v>
      </c>
      <c r="Q395" s="8" t="n">
        <f aca="false">J395/M395</f>
        <v>0.197990543735225</v>
      </c>
      <c r="R395" s="8" t="n">
        <f aca="false">J395/N395</f>
        <v>0.43649478768414</v>
      </c>
      <c r="S395" s="4" t="s">
        <v>35</v>
      </c>
    </row>
    <row r="396" customFormat="false" ht="14.25" hidden="false" customHeight="true" outlineLevel="0" collapsed="false">
      <c r="A396" s="3" t="s">
        <v>164</v>
      </c>
      <c r="B396" s="4" t="s">
        <v>567</v>
      </c>
      <c r="C396" s="4" t="s">
        <v>575</v>
      </c>
      <c r="D396" s="4" t="s">
        <v>186</v>
      </c>
      <c r="E396" s="3" t="s">
        <v>54</v>
      </c>
      <c r="F396" s="3" t="n">
        <v>713</v>
      </c>
      <c r="G396" s="4" t="s">
        <v>110</v>
      </c>
      <c r="H396" s="5" t="n">
        <v>5000000</v>
      </c>
      <c r="I396" s="3" t="s">
        <v>66</v>
      </c>
      <c r="J396" s="6" t="n">
        <v>627</v>
      </c>
      <c r="K396" s="6" t="n">
        <v>480</v>
      </c>
      <c r="L396" s="7" t="n">
        <f aca="false">K396*1.35582</f>
        <v>650.7936</v>
      </c>
      <c r="M396" s="6" t="n">
        <v>2840</v>
      </c>
      <c r="N396" s="7" t="n">
        <f aca="false">M396*0.453592</f>
        <v>1288.20128</v>
      </c>
      <c r="O396" s="3" t="s">
        <v>26</v>
      </c>
      <c r="P396" s="3" t="s">
        <v>67</v>
      </c>
      <c r="Q396" s="8" t="n">
        <f aca="false">J396/M396</f>
        <v>0.220774647887324</v>
      </c>
      <c r="R396" s="8" t="n">
        <f aca="false">J396/N396</f>
        <v>0.486725180089869</v>
      </c>
      <c r="S396" s="4" t="s">
        <v>35</v>
      </c>
    </row>
    <row r="397" customFormat="false" ht="14.25" hidden="false" customHeight="true" outlineLevel="0" collapsed="false">
      <c r="A397" s="3" t="s">
        <v>194</v>
      </c>
      <c r="B397" s="4" t="s">
        <v>567</v>
      </c>
      <c r="C397" s="4" t="s">
        <v>576</v>
      </c>
      <c r="D397" s="4" t="s">
        <v>186</v>
      </c>
      <c r="E397" s="3" t="s">
        <v>54</v>
      </c>
      <c r="F397" s="3" t="n">
        <v>769</v>
      </c>
      <c r="G397" s="4" t="s">
        <v>110</v>
      </c>
      <c r="H397" s="5" t="n">
        <v>5500000</v>
      </c>
      <c r="I397" s="3" t="s">
        <v>66</v>
      </c>
      <c r="J397" s="6" t="n">
        <v>618</v>
      </c>
      <c r="K397" s="6" t="n">
        <v>480</v>
      </c>
      <c r="L397" s="7" t="n">
        <f aca="false">K397*1.35582</f>
        <v>650.7936</v>
      </c>
      <c r="M397" s="6" t="n">
        <v>2469</v>
      </c>
      <c r="N397" s="7" t="n">
        <f aca="false">M397*0.453592</f>
        <v>1119.918648</v>
      </c>
      <c r="O397" s="3" t="s">
        <v>26</v>
      </c>
      <c r="P397" s="3" t="s">
        <v>67</v>
      </c>
      <c r="Q397" s="8" t="n">
        <f aca="false">J397/M397</f>
        <v>0.250303766707169</v>
      </c>
      <c r="R397" s="8" t="n">
        <f aca="false">J397/N397</f>
        <v>0.551825796546608</v>
      </c>
      <c r="S397" s="4" t="s">
        <v>35</v>
      </c>
    </row>
    <row r="398" customFormat="false" ht="14.25" hidden="false" customHeight="true" outlineLevel="0" collapsed="false">
      <c r="A398" s="3" t="s">
        <v>106</v>
      </c>
      <c r="B398" s="4" t="s">
        <v>567</v>
      </c>
      <c r="C398" s="4" t="s">
        <v>577</v>
      </c>
      <c r="D398" s="4" t="s">
        <v>126</v>
      </c>
      <c r="E398" s="3" t="s">
        <v>109</v>
      </c>
      <c r="F398" s="3" t="n">
        <v>848</v>
      </c>
      <c r="G398" s="4" t="s">
        <v>110</v>
      </c>
      <c r="H398" s="5" t="n">
        <v>1550000</v>
      </c>
      <c r="I398" s="3" t="s">
        <v>66</v>
      </c>
      <c r="J398" s="6" t="n">
        <v>903</v>
      </c>
      <c r="K398" s="6" t="n">
        <v>663</v>
      </c>
      <c r="L398" s="7" t="n">
        <f aca="false">K398*1.35582</f>
        <v>898.90866</v>
      </c>
      <c r="M398" s="6" t="n">
        <v>3296</v>
      </c>
      <c r="N398" s="7" t="n">
        <f aca="false">M398*0.453592</f>
        <v>1495.039232</v>
      </c>
      <c r="O398" s="3" t="s">
        <v>26</v>
      </c>
      <c r="P398" s="3" t="s">
        <v>67</v>
      </c>
      <c r="Q398" s="8" t="n">
        <f aca="false">J398/M398</f>
        <v>0.273968446601942</v>
      </c>
      <c r="R398" s="8" t="n">
        <f aca="false">J398/N398</f>
        <v>0.603997527738456</v>
      </c>
      <c r="S398" s="4" t="s">
        <v>35</v>
      </c>
    </row>
    <row r="399" customFormat="false" ht="14.25" hidden="false" customHeight="true" outlineLevel="0" collapsed="false">
      <c r="A399" s="3" t="s">
        <v>76</v>
      </c>
      <c r="B399" s="4" t="s">
        <v>567</v>
      </c>
      <c r="C399" s="4" t="s">
        <v>578</v>
      </c>
      <c r="D399" s="4" t="s">
        <v>126</v>
      </c>
      <c r="E399" s="3" t="s">
        <v>54</v>
      </c>
      <c r="F399" s="3" t="n">
        <v>787</v>
      </c>
      <c r="G399" s="4" t="s">
        <v>110</v>
      </c>
      <c r="H399" s="5" t="n">
        <v>3400000</v>
      </c>
      <c r="I399" s="3" t="s">
        <v>55</v>
      </c>
      <c r="J399" s="6" t="n">
        <v>824</v>
      </c>
      <c r="K399" s="6" t="n">
        <v>590</v>
      </c>
      <c r="L399" s="7" t="n">
        <f aca="false">K399*1.35582</f>
        <v>799.9338</v>
      </c>
      <c r="M399" s="6" t="n">
        <v>3258</v>
      </c>
      <c r="N399" s="7" t="n">
        <f aca="false">M399*0.453592</f>
        <v>1477.802736</v>
      </c>
      <c r="O399" s="3"/>
      <c r="P399" s="3"/>
      <c r="Q399" s="8" t="n">
        <f aca="false">J399/M399</f>
        <v>0.252915899324739</v>
      </c>
      <c r="R399" s="8" t="n">
        <f aca="false">J399/N399</f>
        <v>0.557584567904062</v>
      </c>
      <c r="S399" s="4" t="s">
        <v>28</v>
      </c>
    </row>
    <row r="400" customFormat="false" ht="14.25" hidden="false" customHeight="true" outlineLevel="0" collapsed="false">
      <c r="A400" s="3" t="s">
        <v>121</v>
      </c>
      <c r="B400" s="4" t="s">
        <v>567</v>
      </c>
      <c r="C400" s="4" t="s">
        <v>579</v>
      </c>
      <c r="D400" s="4" t="s">
        <v>126</v>
      </c>
      <c r="E400" s="3" t="s">
        <v>109</v>
      </c>
      <c r="F400" s="3" t="n">
        <v>835</v>
      </c>
      <c r="G400" s="4" t="s">
        <v>110</v>
      </c>
      <c r="H400" s="5" t="n">
        <v>2000000</v>
      </c>
      <c r="I400" s="3" t="s">
        <v>66</v>
      </c>
      <c r="J400" s="6" t="n">
        <v>1055</v>
      </c>
      <c r="K400" s="6" t="n">
        <v>847</v>
      </c>
      <c r="L400" s="7" t="n">
        <f aca="false">K400*1.35582</f>
        <v>1148.37954</v>
      </c>
      <c r="M400" s="6" t="n">
        <v>3521</v>
      </c>
      <c r="N400" s="7" t="n">
        <f aca="false">M400*0.453592</f>
        <v>1597.097432</v>
      </c>
      <c r="O400" s="3" t="s">
        <v>26</v>
      </c>
      <c r="P400" s="3" t="s">
        <v>67</v>
      </c>
      <c r="Q400" s="8" t="n">
        <f aca="false">J400/M400</f>
        <v>0.299630786708322</v>
      </c>
      <c r="R400" s="8" t="n">
        <f aca="false">J400/N400</f>
        <v>0.660573349416042</v>
      </c>
      <c r="S400" s="4" t="s">
        <v>35</v>
      </c>
    </row>
    <row r="401" customFormat="false" ht="14.25" hidden="false" customHeight="true" outlineLevel="0" collapsed="false">
      <c r="A401" s="3" t="s">
        <v>36</v>
      </c>
      <c r="B401" s="4" t="s">
        <v>580</v>
      </c>
      <c r="C401" s="4" t="s">
        <v>581</v>
      </c>
      <c r="D401" s="4" t="s">
        <v>78</v>
      </c>
      <c r="E401" s="3" t="s">
        <v>70</v>
      </c>
      <c r="F401" s="3" t="n">
        <v>645</v>
      </c>
      <c r="G401" s="4" t="s">
        <v>104</v>
      </c>
      <c r="H401" s="5" t="n">
        <v>34000</v>
      </c>
      <c r="I401" s="3" t="s">
        <v>25</v>
      </c>
      <c r="J401" s="6" t="n">
        <v>503</v>
      </c>
      <c r="K401" s="6" t="n">
        <v>516</v>
      </c>
      <c r="L401" s="7" t="n">
        <f aca="false">K401*1.35582</f>
        <v>699.60312</v>
      </c>
      <c r="M401" s="6" t="n">
        <v>3968</v>
      </c>
      <c r="N401" s="7" t="n">
        <f aca="false">M401*0.453592</f>
        <v>1799.853056</v>
      </c>
      <c r="O401" s="3" t="s">
        <v>26</v>
      </c>
      <c r="P401" s="3" t="s">
        <v>27</v>
      </c>
      <c r="Q401" s="8" t="n">
        <f aca="false">J401/M401</f>
        <v>0.126764112903226</v>
      </c>
      <c r="R401" s="8" t="n">
        <f aca="false">J401/N401</f>
        <v>0.279467258909385</v>
      </c>
      <c r="S401" s="4" t="s">
        <v>35</v>
      </c>
    </row>
    <row r="402" customFormat="false" ht="14.25" hidden="false" customHeight="true" outlineLevel="0" collapsed="false">
      <c r="A402" s="3" t="s">
        <v>100</v>
      </c>
      <c r="B402" s="4" t="s">
        <v>580</v>
      </c>
      <c r="C402" s="4" t="s">
        <v>582</v>
      </c>
      <c r="D402" s="4" t="s">
        <v>78</v>
      </c>
      <c r="E402" s="3" t="s">
        <v>70</v>
      </c>
      <c r="F402" s="3" t="n">
        <v>674</v>
      </c>
      <c r="G402" s="4" t="s">
        <v>104</v>
      </c>
      <c r="H402" s="5" t="n">
        <v>63000</v>
      </c>
      <c r="I402" s="3" t="s">
        <v>55</v>
      </c>
      <c r="J402" s="6" t="n">
        <v>603</v>
      </c>
      <c r="K402" s="6" t="n">
        <v>626</v>
      </c>
      <c r="L402" s="7" t="n">
        <f aca="false">K402*1.35582</f>
        <v>848.74332</v>
      </c>
      <c r="M402" s="6" t="n">
        <v>4515</v>
      </c>
      <c r="N402" s="7" t="n">
        <f aca="false">M402*0.453592</f>
        <v>2047.96788</v>
      </c>
      <c r="O402" s="3" t="s">
        <v>62</v>
      </c>
      <c r="P402" s="3" t="s">
        <v>27</v>
      </c>
      <c r="Q402" s="8" t="n">
        <f aca="false">J402/M402</f>
        <v>0.133554817275748</v>
      </c>
      <c r="R402" s="8" t="n">
        <f aca="false">J402/N402</f>
        <v>0.294438211599295</v>
      </c>
      <c r="S402" s="4" t="s">
        <v>35</v>
      </c>
    </row>
    <row r="403" customFormat="false" ht="14.25" hidden="false" customHeight="true" outlineLevel="0" collapsed="false">
      <c r="A403" s="3" t="s">
        <v>100</v>
      </c>
      <c r="B403" s="4" t="s">
        <v>580</v>
      </c>
      <c r="C403" s="4" t="s">
        <v>583</v>
      </c>
      <c r="D403" s="4" t="s">
        <v>78</v>
      </c>
      <c r="E403" s="3" t="s">
        <v>70</v>
      </c>
      <c r="F403" s="3" t="n">
        <v>664</v>
      </c>
      <c r="G403" s="4" t="s">
        <v>104</v>
      </c>
      <c r="H403" s="5"/>
      <c r="I403" s="3"/>
      <c r="J403" s="6" t="n">
        <v>630</v>
      </c>
      <c r="K403" s="6" t="n">
        <v>663</v>
      </c>
      <c r="L403" s="7" t="n">
        <f aca="false">K403*1.35582</f>
        <v>898.90866</v>
      </c>
      <c r="M403" s="6" t="n">
        <v>4508</v>
      </c>
      <c r="N403" s="7" t="n">
        <f aca="false">M403*0.453592</f>
        <v>2044.792736</v>
      </c>
      <c r="O403" s="3"/>
      <c r="P403" s="3"/>
      <c r="Q403" s="8" t="n">
        <f aca="false">J403/M403</f>
        <v>0.139751552795031</v>
      </c>
      <c r="R403" s="8" t="n">
        <f aca="false">J403/N403</f>
        <v>0.308099686050528</v>
      </c>
      <c r="S403" s="4" t="s">
        <v>105</v>
      </c>
    </row>
    <row r="404" customFormat="false" ht="14.25" hidden="false" customHeight="true" outlineLevel="0" collapsed="false">
      <c r="A404" s="3" t="s">
        <v>141</v>
      </c>
      <c r="B404" s="4" t="s">
        <v>580</v>
      </c>
      <c r="C404" s="4" t="s">
        <v>584</v>
      </c>
      <c r="D404" s="4" t="s">
        <v>171</v>
      </c>
      <c r="E404" s="3" t="s">
        <v>54</v>
      </c>
      <c r="F404" s="3" t="n">
        <v>782</v>
      </c>
      <c r="G404" s="4" t="s">
        <v>104</v>
      </c>
      <c r="H404" s="5" t="n">
        <v>440000</v>
      </c>
      <c r="I404" s="3" t="s">
        <v>55</v>
      </c>
      <c r="J404" s="6" t="n">
        <v>720</v>
      </c>
      <c r="K404" s="6" t="n">
        <v>590</v>
      </c>
      <c r="L404" s="7" t="n">
        <f aca="false">K404*1.35582</f>
        <v>799.9338</v>
      </c>
      <c r="M404" s="6" t="n">
        <v>3616</v>
      </c>
      <c r="N404" s="7" t="n">
        <f aca="false">M404*0.453592</f>
        <v>1640.188672</v>
      </c>
      <c r="O404" s="3" t="s">
        <v>26</v>
      </c>
      <c r="P404" s="3" t="s">
        <v>27</v>
      </c>
      <c r="Q404" s="8" t="n">
        <f aca="false">J404/M404</f>
        <v>0.199115044247788</v>
      </c>
      <c r="R404" s="8" t="n">
        <f aca="false">J404/N404</f>
        <v>0.438973888974646</v>
      </c>
      <c r="S404" s="4" t="s">
        <v>35</v>
      </c>
    </row>
    <row r="405" customFormat="false" ht="14.25" hidden="false" customHeight="true" outlineLevel="0" collapsed="false">
      <c r="A405" s="3" t="s">
        <v>141</v>
      </c>
      <c r="B405" s="4" t="s">
        <v>580</v>
      </c>
      <c r="C405" s="4" t="s">
        <v>585</v>
      </c>
      <c r="D405" s="4" t="s">
        <v>171</v>
      </c>
      <c r="E405" s="3" t="s">
        <v>109</v>
      </c>
      <c r="F405" s="3" t="n">
        <v>900</v>
      </c>
      <c r="G405" s="4" t="s">
        <v>104</v>
      </c>
      <c r="H405" s="5" t="n">
        <v>200000</v>
      </c>
      <c r="I405" s="3" t="s">
        <v>66</v>
      </c>
      <c r="J405" s="6" t="n">
        <v>720</v>
      </c>
      <c r="K405" s="6" t="n">
        <v>590</v>
      </c>
      <c r="L405" s="7" t="n">
        <f aca="false">K405*1.35582</f>
        <v>799.9338</v>
      </c>
      <c r="M405" s="6" t="n">
        <v>2557</v>
      </c>
      <c r="N405" s="7" t="n">
        <f aca="false">M405*0.453592</f>
        <v>1159.834744</v>
      </c>
      <c r="O405" s="3" t="s">
        <v>26</v>
      </c>
      <c r="P405" s="3" t="s">
        <v>27</v>
      </c>
      <c r="Q405" s="8" t="n">
        <f aca="false">J405/M405</f>
        <v>0.281579976535002</v>
      </c>
      <c r="R405" s="8" t="n">
        <f aca="false">J405/N405</f>
        <v>0.62077809250384</v>
      </c>
      <c r="S405" s="4" t="s">
        <v>75</v>
      </c>
    </row>
    <row r="406" customFormat="false" ht="14.25" hidden="false" customHeight="true" outlineLevel="0" collapsed="false">
      <c r="A406" s="3" t="s">
        <v>19</v>
      </c>
      <c r="B406" s="4" t="s">
        <v>580</v>
      </c>
      <c r="C406" s="4" t="s">
        <v>586</v>
      </c>
      <c r="D406" s="4" t="s">
        <v>115</v>
      </c>
      <c r="E406" s="3" t="s">
        <v>54</v>
      </c>
      <c r="F406" s="3" t="n">
        <v>764</v>
      </c>
      <c r="G406" s="4" t="s">
        <v>104</v>
      </c>
      <c r="H406" s="5" t="n">
        <v>250000</v>
      </c>
      <c r="I406" s="3" t="s">
        <v>55</v>
      </c>
      <c r="J406" s="6"/>
      <c r="K406" s="6"/>
      <c r="L406" s="7"/>
      <c r="M406" s="6"/>
      <c r="N406" s="7"/>
      <c r="O406" s="3"/>
      <c r="P406" s="3"/>
      <c r="Q406" s="8"/>
      <c r="R406" s="8"/>
      <c r="S406" s="4" t="s">
        <v>28</v>
      </c>
    </row>
    <row r="407" customFormat="false" ht="14.25" hidden="false" customHeight="true" outlineLevel="0" collapsed="false">
      <c r="A407" s="3" t="s">
        <v>94</v>
      </c>
      <c r="B407" s="4" t="s">
        <v>580</v>
      </c>
      <c r="C407" s="4" t="s">
        <v>587</v>
      </c>
      <c r="D407" s="4" t="s">
        <v>115</v>
      </c>
      <c r="E407" s="3" t="s">
        <v>70</v>
      </c>
      <c r="F407" s="3" t="n">
        <v>691</v>
      </c>
      <c r="G407" s="4" t="s">
        <v>104</v>
      </c>
      <c r="H407" s="5" t="n">
        <v>90000</v>
      </c>
      <c r="I407" s="3" t="s">
        <v>25</v>
      </c>
      <c r="J407" s="6" t="n">
        <v>503</v>
      </c>
      <c r="K407" s="6" t="n">
        <v>479</v>
      </c>
      <c r="L407" s="7" t="n">
        <f aca="false">K407*1.35582</f>
        <v>649.43778</v>
      </c>
      <c r="M407" s="6" t="n">
        <v>3573</v>
      </c>
      <c r="N407" s="7" t="n">
        <f aca="false">M407*0.453592</f>
        <v>1620.684216</v>
      </c>
      <c r="O407" s="3" t="s">
        <v>26</v>
      </c>
      <c r="P407" s="3" t="s">
        <v>27</v>
      </c>
      <c r="Q407" s="8" t="n">
        <f aca="false">J407/M407</f>
        <v>0.140778057654632</v>
      </c>
      <c r="R407" s="8" t="n">
        <f aca="false">J407/N407</f>
        <v>0.310362743731441</v>
      </c>
      <c r="S407" s="4" t="s">
        <v>35</v>
      </c>
    </row>
    <row r="408" customFormat="false" ht="14.25" hidden="false" customHeight="true" outlineLevel="0" collapsed="false">
      <c r="A408" s="3" t="s">
        <v>76</v>
      </c>
      <c r="B408" s="4" t="s">
        <v>580</v>
      </c>
      <c r="C408" s="4" t="s">
        <v>588</v>
      </c>
      <c r="D408" s="4" t="s">
        <v>126</v>
      </c>
      <c r="E408" s="3" t="s">
        <v>109</v>
      </c>
      <c r="F408" s="3" t="n">
        <v>900</v>
      </c>
      <c r="G408" s="4" t="s">
        <v>104</v>
      </c>
      <c r="H408" s="5" t="n">
        <v>2800000</v>
      </c>
      <c r="I408" s="3" t="s">
        <v>66</v>
      </c>
      <c r="J408" s="6" t="n">
        <v>1086</v>
      </c>
      <c r="K408" s="6" t="n">
        <v>700</v>
      </c>
      <c r="L408" s="7" t="n">
        <f aca="false">K408*1.35582</f>
        <v>949.074</v>
      </c>
      <c r="M408" s="6" t="n">
        <v>3737</v>
      </c>
      <c r="N408" s="7" t="n">
        <f aca="false">M408*0.453592</f>
        <v>1695.073304</v>
      </c>
      <c r="O408" s="3" t="s">
        <v>62</v>
      </c>
      <c r="P408" s="3" t="s">
        <v>67</v>
      </c>
      <c r="Q408" s="8" t="n">
        <f aca="false">J408/M408</f>
        <v>0.290607439122291</v>
      </c>
      <c r="R408" s="8" t="n">
        <f aca="false">J408/N408</f>
        <v>0.640680256976072</v>
      </c>
      <c r="S408" s="4" t="s">
        <v>35</v>
      </c>
    </row>
    <row r="409" customFormat="false" ht="14.25" hidden="false" customHeight="true" outlineLevel="0" collapsed="false">
      <c r="A409" s="3" t="s">
        <v>76</v>
      </c>
      <c r="B409" s="4" t="s">
        <v>580</v>
      </c>
      <c r="C409" s="4" t="s">
        <v>589</v>
      </c>
      <c r="D409" s="4" t="s">
        <v>73</v>
      </c>
      <c r="E409" s="3" t="s">
        <v>70</v>
      </c>
      <c r="F409" s="3" t="n">
        <v>690</v>
      </c>
      <c r="G409" s="4" t="s">
        <v>104</v>
      </c>
      <c r="H409" s="5" t="n">
        <v>120000</v>
      </c>
      <c r="I409" s="3" t="s">
        <v>25</v>
      </c>
      <c r="J409" s="6" t="n">
        <v>577</v>
      </c>
      <c r="K409" s="6" t="n">
        <v>590</v>
      </c>
      <c r="L409" s="7" t="n">
        <f aca="false">K409*1.35582</f>
        <v>799.9338</v>
      </c>
      <c r="M409" s="6" t="n">
        <v>4305</v>
      </c>
      <c r="N409" s="7" t="n">
        <f aca="false">M409*0.453592</f>
        <v>1952.71356</v>
      </c>
      <c r="O409" s="3" t="s">
        <v>62</v>
      </c>
      <c r="P409" s="3" t="s">
        <v>27</v>
      </c>
      <c r="Q409" s="8" t="n">
        <f aca="false">J409/M409</f>
        <v>0.134030197444832</v>
      </c>
      <c r="R409" s="8" t="n">
        <f aca="false">J409/N409</f>
        <v>0.295486246328929</v>
      </c>
      <c r="S409" s="4" t="s">
        <v>35</v>
      </c>
    </row>
    <row r="410" customFormat="false" ht="14.25" hidden="false" customHeight="true" outlineLevel="0" collapsed="false">
      <c r="A410" s="3" t="s">
        <v>141</v>
      </c>
      <c r="B410" s="4" t="s">
        <v>580</v>
      </c>
      <c r="C410" s="4" t="s">
        <v>590</v>
      </c>
      <c r="D410" s="4" t="s">
        <v>22</v>
      </c>
      <c r="E410" s="3" t="s">
        <v>70</v>
      </c>
      <c r="F410" s="3" t="n">
        <v>620</v>
      </c>
      <c r="G410" s="4" t="s">
        <v>104</v>
      </c>
      <c r="H410" s="5" t="n">
        <v>50000</v>
      </c>
      <c r="I410" s="3" t="s">
        <v>25</v>
      </c>
      <c r="J410" s="6" t="n">
        <v>385</v>
      </c>
      <c r="K410" s="6" t="n">
        <v>384</v>
      </c>
      <c r="L410" s="7" t="n">
        <f aca="false">K410*1.35582</f>
        <v>520.63488</v>
      </c>
      <c r="M410" s="6" t="n">
        <v>3541</v>
      </c>
      <c r="N410" s="7" t="n">
        <f aca="false">M410*0.453592</f>
        <v>1606.169272</v>
      </c>
      <c r="O410" s="3" t="s">
        <v>26</v>
      </c>
      <c r="P410" s="3" t="s">
        <v>27</v>
      </c>
      <c r="Q410" s="8" t="n">
        <f aca="false">J410/M410</f>
        <v>0.108726348489127</v>
      </c>
      <c r="R410" s="8" t="n">
        <f aca="false">J410/N410</f>
        <v>0.239700762996542</v>
      </c>
      <c r="S410" s="4" t="s">
        <v>35</v>
      </c>
    </row>
    <row r="411" customFormat="false" ht="14.25" hidden="false" customHeight="true" outlineLevel="0" collapsed="false">
      <c r="A411" s="3" t="s">
        <v>85</v>
      </c>
      <c r="B411" s="4" t="s">
        <v>591</v>
      </c>
      <c r="C411" s="4" t="s">
        <v>592</v>
      </c>
      <c r="D411" s="4" t="s">
        <v>61</v>
      </c>
      <c r="E411" s="3" t="s">
        <v>23</v>
      </c>
      <c r="F411" s="3" t="n">
        <v>460</v>
      </c>
      <c r="G411" s="4" t="s">
        <v>104</v>
      </c>
      <c r="H411" s="5" t="n">
        <v>200000</v>
      </c>
      <c r="I411" s="3" t="s">
        <v>55</v>
      </c>
      <c r="J411" s="6" t="n">
        <v>235</v>
      </c>
      <c r="K411" s="6" t="n">
        <v>181</v>
      </c>
      <c r="L411" s="7" t="n">
        <f aca="false">K411*1.35582</f>
        <v>245.40342</v>
      </c>
      <c r="M411" s="6" t="n">
        <v>2954</v>
      </c>
      <c r="N411" s="7" t="n">
        <f aca="false">M411*0.453592</f>
        <v>1339.910768</v>
      </c>
      <c r="O411" s="3" t="s">
        <v>26</v>
      </c>
      <c r="P411" s="3" t="s">
        <v>27</v>
      </c>
      <c r="Q411" s="8" t="n">
        <f aca="false">J411/M411</f>
        <v>0.0795531482735274</v>
      </c>
      <c r="R411" s="8" t="n">
        <f aca="false">J411/N411</f>
        <v>0.175384813386319</v>
      </c>
      <c r="S411" s="4" t="s">
        <v>63</v>
      </c>
    </row>
    <row r="412" customFormat="false" ht="14.25" hidden="false" customHeight="true" outlineLevel="0" collapsed="false">
      <c r="A412" s="3" t="s">
        <v>85</v>
      </c>
      <c r="B412" s="4" t="s">
        <v>591</v>
      </c>
      <c r="C412" s="4" t="s">
        <v>593</v>
      </c>
      <c r="D412" s="4" t="s">
        <v>171</v>
      </c>
      <c r="E412" s="3" t="s">
        <v>70</v>
      </c>
      <c r="F412" s="3" t="n">
        <v>700</v>
      </c>
      <c r="G412" s="4" t="s">
        <v>104</v>
      </c>
      <c r="H412" s="5" t="n">
        <v>750000</v>
      </c>
      <c r="I412" s="3" t="s">
        <v>296</v>
      </c>
      <c r="J412" s="6" t="n">
        <v>304</v>
      </c>
      <c r="K412" s="6" t="n">
        <v>192</v>
      </c>
      <c r="L412" s="7" t="n">
        <f aca="false">K412*1.35582</f>
        <v>260.31744</v>
      </c>
      <c r="M412" s="6" t="n">
        <v>2778</v>
      </c>
      <c r="N412" s="7" t="n">
        <f aca="false">M412*0.453592</f>
        <v>1260.078576</v>
      </c>
      <c r="O412" s="3"/>
      <c r="P412" s="3"/>
      <c r="Q412" s="8" t="n">
        <f aca="false">J412/M412</f>
        <v>0.10943124550036</v>
      </c>
      <c r="R412" s="8" t="n">
        <f aca="false">J412/N412</f>
        <v>0.24125479616122</v>
      </c>
      <c r="S412" s="4" t="s">
        <v>105</v>
      </c>
    </row>
    <row r="413" customFormat="false" ht="14.25" hidden="false" customHeight="true" outlineLevel="0" collapsed="false">
      <c r="A413" s="3" t="s">
        <v>594</v>
      </c>
      <c r="B413" s="4" t="s">
        <v>591</v>
      </c>
      <c r="C413" s="4" t="s">
        <v>595</v>
      </c>
      <c r="D413" s="4" t="s">
        <v>82</v>
      </c>
      <c r="E413" s="3" t="s">
        <v>32</v>
      </c>
      <c r="F413" s="3" t="n">
        <v>388</v>
      </c>
      <c r="G413" s="4" t="s">
        <v>104</v>
      </c>
      <c r="H413" s="5" t="n">
        <v>1700000</v>
      </c>
      <c r="I413" s="3" t="s">
        <v>66</v>
      </c>
      <c r="J413" s="6" t="n">
        <v>241</v>
      </c>
      <c r="K413" s="6" t="n">
        <v>217</v>
      </c>
      <c r="L413" s="7" t="n">
        <f aca="false">K413*1.35582</f>
        <v>294.21294</v>
      </c>
      <c r="M413" s="6" t="n">
        <v>2960</v>
      </c>
      <c r="N413" s="7" t="n">
        <f aca="false">M413*0.453592</f>
        <v>1342.63232</v>
      </c>
      <c r="O413" s="3" t="s">
        <v>26</v>
      </c>
      <c r="P413" s="3" t="s">
        <v>27</v>
      </c>
      <c r="Q413" s="8" t="n">
        <f aca="false">J413/M413</f>
        <v>0.0814189189189189</v>
      </c>
      <c r="R413" s="8" t="n">
        <f aca="false">J413/N413</f>
        <v>0.179498136913612</v>
      </c>
      <c r="S413" s="4" t="s">
        <v>35</v>
      </c>
    </row>
    <row r="414" customFormat="false" ht="14.25" hidden="false" customHeight="true" outlineLevel="0" collapsed="false">
      <c r="A414" s="3" t="s">
        <v>228</v>
      </c>
      <c r="B414" s="4" t="s">
        <v>591</v>
      </c>
      <c r="C414" s="4" t="s">
        <v>596</v>
      </c>
      <c r="D414" s="4" t="s">
        <v>65</v>
      </c>
      <c r="E414" s="3" t="s">
        <v>39</v>
      </c>
      <c r="F414" s="3" t="n">
        <v>599</v>
      </c>
      <c r="G414" s="4" t="s">
        <v>104</v>
      </c>
      <c r="H414" s="5" t="n">
        <v>60000000</v>
      </c>
      <c r="I414" s="3" t="s">
        <v>66</v>
      </c>
      <c r="J414" s="6" t="n">
        <v>310</v>
      </c>
      <c r="K414" s="6" t="n">
        <v>234</v>
      </c>
      <c r="L414" s="7" t="n">
        <f aca="false">K414*1.35582</f>
        <v>317.26188</v>
      </c>
      <c r="M414" s="6" t="n">
        <v>1984</v>
      </c>
      <c r="N414" s="7" t="n">
        <f aca="false">M414*0.453592</f>
        <v>899.926528</v>
      </c>
      <c r="O414" s="3" t="s">
        <v>26</v>
      </c>
      <c r="P414" s="3" t="s">
        <v>27</v>
      </c>
      <c r="Q414" s="8" t="n">
        <f aca="false">J414/M414</f>
        <v>0.15625</v>
      </c>
      <c r="R414" s="8" t="n">
        <f aca="false">J414/N414</f>
        <v>0.344472565653715</v>
      </c>
      <c r="S414" s="4" t="s">
        <v>35</v>
      </c>
    </row>
    <row r="415" customFormat="false" ht="14.25" hidden="false" customHeight="true" outlineLevel="0" collapsed="false">
      <c r="A415" s="3" t="s">
        <v>106</v>
      </c>
      <c r="B415" s="4" t="s">
        <v>591</v>
      </c>
      <c r="C415" s="4" t="s">
        <v>597</v>
      </c>
      <c r="D415" s="4" t="s">
        <v>147</v>
      </c>
      <c r="E415" s="3" t="s">
        <v>39</v>
      </c>
      <c r="F415" s="3" t="n">
        <v>582</v>
      </c>
      <c r="G415" s="4" t="s">
        <v>104</v>
      </c>
      <c r="H415" s="5" t="n">
        <v>25000</v>
      </c>
      <c r="I415" s="3" t="s">
        <v>25</v>
      </c>
      <c r="J415" s="6" t="n">
        <v>355</v>
      </c>
      <c r="K415" s="6" t="n">
        <v>326</v>
      </c>
      <c r="L415" s="7" t="n">
        <f aca="false">K415*1.35582</f>
        <v>441.99732</v>
      </c>
      <c r="M415" s="6" t="n">
        <v>3263</v>
      </c>
      <c r="N415" s="7" t="n">
        <f aca="false">M415*0.453592</f>
        <v>1480.070696</v>
      </c>
      <c r="O415" s="3" t="s">
        <v>62</v>
      </c>
      <c r="P415" s="3" t="s">
        <v>27</v>
      </c>
      <c r="Q415" s="8" t="n">
        <f aca="false">J415/M415</f>
        <v>0.108795586883236</v>
      </c>
      <c r="R415" s="8" t="n">
        <f aca="false">J415/N415</f>
        <v>0.239853407651009</v>
      </c>
      <c r="S415" s="4" t="s">
        <v>35</v>
      </c>
    </row>
    <row r="416" customFormat="false" ht="14.25" hidden="false" customHeight="true" outlineLevel="0" collapsed="false">
      <c r="A416" s="3" t="s">
        <v>598</v>
      </c>
      <c r="B416" s="4" t="s">
        <v>591</v>
      </c>
      <c r="C416" s="4" t="s">
        <v>599</v>
      </c>
      <c r="D416" s="4" t="s">
        <v>186</v>
      </c>
      <c r="E416" s="3" t="s">
        <v>54</v>
      </c>
      <c r="F416" s="3" t="n">
        <v>713</v>
      </c>
      <c r="G416" s="4" t="s">
        <v>104</v>
      </c>
      <c r="H416" s="5"/>
      <c r="I416" s="3"/>
      <c r="J416" s="6" t="n">
        <v>622</v>
      </c>
      <c r="K416" s="6" t="n">
        <v>539</v>
      </c>
      <c r="L416" s="7" t="n">
        <f aca="false">K416*1.35582</f>
        <v>730.78698</v>
      </c>
      <c r="M416" s="6" t="n">
        <v>3175</v>
      </c>
      <c r="N416" s="7" t="n">
        <f aca="false">M416*0.453592</f>
        <v>1440.1546</v>
      </c>
      <c r="O416" s="3"/>
      <c r="P416" s="3"/>
      <c r="Q416" s="8" t="n">
        <f aca="false">J416/M416</f>
        <v>0.195905511811024</v>
      </c>
      <c r="R416" s="8" t="n">
        <f aca="false">J416/N416</f>
        <v>0.431898075387184</v>
      </c>
      <c r="S416" s="4" t="s">
        <v>105</v>
      </c>
    </row>
    <row r="417" customFormat="false" ht="14.25" hidden="false" customHeight="true" outlineLevel="0" collapsed="false">
      <c r="A417" s="3" t="s">
        <v>211</v>
      </c>
      <c r="B417" s="4" t="s">
        <v>591</v>
      </c>
      <c r="C417" s="4" t="s">
        <v>600</v>
      </c>
      <c r="D417" s="4" t="s">
        <v>61</v>
      </c>
      <c r="E417" s="3" t="s">
        <v>39</v>
      </c>
      <c r="F417" s="3" t="n">
        <v>565</v>
      </c>
      <c r="G417" s="4" t="s">
        <v>104</v>
      </c>
      <c r="H417" s="5" t="n">
        <v>225000</v>
      </c>
      <c r="I417" s="3" t="s">
        <v>33</v>
      </c>
      <c r="J417" s="6" t="n">
        <v>379</v>
      </c>
      <c r="K417" s="6" t="n">
        <v>417</v>
      </c>
      <c r="L417" s="7" t="n">
        <f aca="false">K417*1.35582</f>
        <v>565.37694</v>
      </c>
      <c r="M417" s="6" t="n">
        <v>3640</v>
      </c>
      <c r="N417" s="7" t="n">
        <f aca="false">M417*0.453592</f>
        <v>1651.07488</v>
      </c>
      <c r="O417" s="3" t="s">
        <v>26</v>
      </c>
      <c r="P417" s="3" t="s">
        <v>27</v>
      </c>
      <c r="Q417" s="8" t="n">
        <f aca="false">J417/M417</f>
        <v>0.104120879120879</v>
      </c>
      <c r="R417" s="8" t="n">
        <f aca="false">J417/N417</f>
        <v>0.229547432760893</v>
      </c>
      <c r="S417" s="4" t="s">
        <v>35</v>
      </c>
    </row>
    <row r="418" customFormat="false" ht="14.25" hidden="false" customHeight="true" outlineLevel="0" collapsed="false">
      <c r="A418" s="3" t="s">
        <v>203</v>
      </c>
      <c r="B418" s="4" t="s">
        <v>591</v>
      </c>
      <c r="C418" s="4" t="s">
        <v>601</v>
      </c>
      <c r="D418" s="4" t="s">
        <v>78</v>
      </c>
      <c r="E418" s="3" t="s">
        <v>70</v>
      </c>
      <c r="F418" s="3" t="n">
        <v>654</v>
      </c>
      <c r="G418" s="4" t="s">
        <v>104</v>
      </c>
      <c r="H418" s="5" t="n">
        <v>175000</v>
      </c>
      <c r="I418" s="3" t="s">
        <v>55</v>
      </c>
      <c r="J418" s="6" t="n">
        <v>510</v>
      </c>
      <c r="K418" s="6" t="n">
        <v>457</v>
      </c>
      <c r="L418" s="7" t="n">
        <f aca="false">K418*1.35582</f>
        <v>619.60974</v>
      </c>
      <c r="M418" s="6" t="n">
        <v>3854</v>
      </c>
      <c r="N418" s="7" t="n">
        <f aca="false">M418*0.453592</f>
        <v>1748.143568</v>
      </c>
      <c r="O418" s="3" t="s">
        <v>26</v>
      </c>
      <c r="P418" s="3" t="s">
        <v>27</v>
      </c>
      <c r="Q418" s="8" t="n">
        <f aca="false">J418/M418</f>
        <v>0.132330046704722</v>
      </c>
      <c r="R418" s="8" t="n">
        <f aca="false">J418/N418</f>
        <v>0.291738052489291</v>
      </c>
      <c r="S418" s="4" t="s">
        <v>63</v>
      </c>
    </row>
    <row r="419" customFormat="false" ht="14.25" hidden="false" customHeight="true" outlineLevel="0" collapsed="false">
      <c r="A419" s="3" t="s">
        <v>68</v>
      </c>
      <c r="B419" s="4" t="s">
        <v>591</v>
      </c>
      <c r="C419" s="4" t="s">
        <v>602</v>
      </c>
      <c r="D419" s="4" t="s">
        <v>260</v>
      </c>
      <c r="E419" s="3" t="s">
        <v>23</v>
      </c>
      <c r="F419" s="3" t="n">
        <v>489</v>
      </c>
      <c r="G419" s="4" t="s">
        <v>104</v>
      </c>
      <c r="H419" s="5"/>
      <c r="I419" s="3"/>
      <c r="J419" s="6" t="n">
        <v>536</v>
      </c>
      <c r="K419" s="6" t="n">
        <v>560</v>
      </c>
      <c r="L419" s="7" t="n">
        <f aca="false">K419*1.35582</f>
        <v>759.2592</v>
      </c>
      <c r="M419" s="6" t="n">
        <v>9050</v>
      </c>
      <c r="N419" s="7" t="n">
        <f aca="false">M419*0.453592</f>
        <v>4105.0076</v>
      </c>
      <c r="O419" s="3"/>
      <c r="P419" s="3"/>
      <c r="Q419" s="8" t="n">
        <f aca="false">J419/M419</f>
        <v>0.0592265193370166</v>
      </c>
      <c r="R419" s="8" t="n">
        <f aca="false">J419/N419</f>
        <v>0.130572230852873</v>
      </c>
      <c r="S419" s="4" t="s">
        <v>105</v>
      </c>
    </row>
    <row r="420" customFormat="false" ht="14.25" hidden="false" customHeight="true" outlineLevel="0" collapsed="false">
      <c r="A420" s="3" t="s">
        <v>106</v>
      </c>
      <c r="B420" s="4" t="s">
        <v>591</v>
      </c>
      <c r="C420" s="4" t="s">
        <v>603</v>
      </c>
      <c r="D420" s="4" t="s">
        <v>260</v>
      </c>
      <c r="E420" s="3" t="s">
        <v>39</v>
      </c>
      <c r="F420" s="3" t="n">
        <v>530</v>
      </c>
      <c r="G420" s="4" t="s">
        <v>104</v>
      </c>
      <c r="H420" s="5" t="n">
        <v>120000</v>
      </c>
      <c r="I420" s="3" t="s">
        <v>25</v>
      </c>
      <c r="J420" s="6" t="n">
        <v>603</v>
      </c>
      <c r="K420" s="6" t="n">
        <v>737</v>
      </c>
      <c r="L420" s="7" t="n">
        <f aca="false">K420*1.35582</f>
        <v>999.23934</v>
      </c>
      <c r="M420" s="6" t="n">
        <v>5688</v>
      </c>
      <c r="N420" s="7" t="n">
        <f aca="false">M420*0.453592</f>
        <v>2580.031296</v>
      </c>
      <c r="O420" s="3" t="s">
        <v>62</v>
      </c>
      <c r="P420" s="3" t="s">
        <v>27</v>
      </c>
      <c r="Q420" s="8" t="n">
        <f aca="false">J420/M420</f>
        <v>0.106012658227848</v>
      </c>
      <c r="R420" s="8" t="n">
        <f aca="false">J420/N420</f>
        <v>0.233718095177711</v>
      </c>
      <c r="S420" s="4" t="s">
        <v>99</v>
      </c>
    </row>
    <row r="421" customFormat="false" ht="14.25" hidden="false" customHeight="true" outlineLevel="0" collapsed="false">
      <c r="A421" s="3" t="s">
        <v>139</v>
      </c>
      <c r="B421" s="4" t="s">
        <v>591</v>
      </c>
      <c r="C421" s="4" t="s">
        <v>604</v>
      </c>
      <c r="D421" s="4" t="s">
        <v>115</v>
      </c>
      <c r="E421" s="3" t="s">
        <v>70</v>
      </c>
      <c r="F421" s="3" t="n">
        <v>699</v>
      </c>
      <c r="G421" s="4" t="s">
        <v>104</v>
      </c>
      <c r="H421" s="5" t="n">
        <v>360000</v>
      </c>
      <c r="I421" s="3" t="s">
        <v>55</v>
      </c>
      <c r="J421" s="6" t="n">
        <v>661</v>
      </c>
      <c r="K421" s="6" t="n">
        <v>738</v>
      </c>
      <c r="L421" s="7" t="n">
        <f aca="false">K421*1.35582</f>
        <v>1000.59516</v>
      </c>
      <c r="M421" s="6" t="n">
        <v>4215</v>
      </c>
      <c r="N421" s="7" t="n">
        <f aca="false">M421*0.453592</f>
        <v>1911.89028</v>
      </c>
      <c r="O421" s="3" t="s">
        <v>26</v>
      </c>
      <c r="P421" s="3" t="s">
        <v>27</v>
      </c>
      <c r="Q421" s="8" t="n">
        <f aca="false">J421/M421</f>
        <v>0.156820877817319</v>
      </c>
      <c r="R421" s="8" t="n">
        <f aca="false">J421/N421</f>
        <v>0.345731136830718</v>
      </c>
      <c r="S421" s="4" t="s">
        <v>35</v>
      </c>
    </row>
    <row r="422" customFormat="false" ht="14.25" hidden="false" customHeight="true" outlineLevel="0" collapsed="false">
      <c r="A422" s="3" t="s">
        <v>68</v>
      </c>
      <c r="B422" s="4" t="s">
        <v>591</v>
      </c>
      <c r="C422" s="4" t="s">
        <v>605</v>
      </c>
      <c r="D422" s="4" t="s">
        <v>349</v>
      </c>
      <c r="E422" s="3" t="s">
        <v>32</v>
      </c>
      <c r="F422" s="3" t="n">
        <v>100</v>
      </c>
      <c r="G422" s="4" t="s">
        <v>104</v>
      </c>
      <c r="H422" s="5" t="n">
        <v>235000</v>
      </c>
      <c r="I422" s="3" t="s">
        <v>25</v>
      </c>
      <c r="J422" s="6" t="n">
        <v>228</v>
      </c>
      <c r="K422" s="6" t="n">
        <v>663</v>
      </c>
      <c r="L422" s="7" t="n">
        <f aca="false">K422*1.35582</f>
        <v>898.90866</v>
      </c>
      <c r="M422" s="6" t="n">
        <v>15432</v>
      </c>
      <c r="N422" s="7" t="n">
        <f aca="false">M422*0.453592</f>
        <v>6999.831744</v>
      </c>
      <c r="O422" s="3" t="s">
        <v>62</v>
      </c>
      <c r="P422" s="3" t="s">
        <v>67</v>
      </c>
      <c r="Q422" s="8" t="n">
        <f aca="false">J422/M422</f>
        <v>0.0147744945567652</v>
      </c>
      <c r="R422" s="8" t="n">
        <f aca="false">J422/N422</f>
        <v>0.0325722114957168</v>
      </c>
      <c r="S422" s="4" t="s">
        <v>35</v>
      </c>
    </row>
    <row r="423" customFormat="false" ht="14.25" hidden="false" customHeight="true" outlineLevel="0" collapsed="false">
      <c r="A423" s="3" t="s">
        <v>100</v>
      </c>
      <c r="B423" s="4" t="s">
        <v>591</v>
      </c>
      <c r="C423" s="4" t="s">
        <v>606</v>
      </c>
      <c r="D423" s="4" t="s">
        <v>260</v>
      </c>
      <c r="E423" s="3" t="s">
        <v>32</v>
      </c>
      <c r="F423" s="3" t="n">
        <v>258</v>
      </c>
      <c r="G423" s="4" t="s">
        <v>104</v>
      </c>
      <c r="H423" s="5" t="n">
        <v>50000</v>
      </c>
      <c r="I423" s="3" t="s">
        <v>33</v>
      </c>
      <c r="J423" s="6" t="n">
        <v>188</v>
      </c>
      <c r="K423" s="6" t="n">
        <v>332</v>
      </c>
      <c r="L423" s="7" t="n">
        <f aca="false">K423*1.35582</f>
        <v>450.13224</v>
      </c>
      <c r="M423" s="6" t="n">
        <v>4764</v>
      </c>
      <c r="N423" s="7" t="n">
        <f aca="false">M423*0.453592</f>
        <v>2160.912288</v>
      </c>
      <c r="O423" s="3" t="s">
        <v>62</v>
      </c>
      <c r="P423" s="3" t="s">
        <v>27</v>
      </c>
      <c r="Q423" s="8" t="n">
        <f aca="false">J423/M423</f>
        <v>0.0394626364399664</v>
      </c>
      <c r="R423" s="8" t="n">
        <f aca="false">J423/N423</f>
        <v>0.0870002919803842</v>
      </c>
      <c r="S423" s="4" t="s">
        <v>35</v>
      </c>
    </row>
    <row r="424" customFormat="false" ht="14.25" hidden="false" customHeight="true" outlineLevel="0" collapsed="false">
      <c r="A424" s="3" t="s">
        <v>607</v>
      </c>
      <c r="B424" s="4" t="s">
        <v>608</v>
      </c>
      <c r="C424" s="4" t="s">
        <v>609</v>
      </c>
      <c r="D424" s="4" t="s">
        <v>610</v>
      </c>
      <c r="E424" s="3" t="s">
        <v>32</v>
      </c>
      <c r="F424" s="3" t="n">
        <v>201</v>
      </c>
      <c r="G424" s="4" t="s">
        <v>46</v>
      </c>
      <c r="H424" s="5" t="n">
        <v>34000</v>
      </c>
      <c r="I424" s="3" t="s">
        <v>55</v>
      </c>
      <c r="J424" s="6" t="n">
        <v>60</v>
      </c>
      <c r="K424" s="6" t="n">
        <v>82</v>
      </c>
      <c r="L424" s="7" t="n">
        <f aca="false">K424*1.35582</f>
        <v>111.17724</v>
      </c>
      <c r="M424" s="6" t="n">
        <v>1235</v>
      </c>
      <c r="N424" s="7" t="n">
        <f aca="false">M424*0.453592</f>
        <v>560.18612</v>
      </c>
      <c r="O424" s="3" t="s">
        <v>26</v>
      </c>
      <c r="P424" s="3" t="s">
        <v>34</v>
      </c>
      <c r="Q424" s="8" t="n">
        <f aca="false">J424/M424</f>
        <v>0.048582995951417</v>
      </c>
      <c r="R424" s="8" t="n">
        <f aca="false">J424/N424</f>
        <v>0.107107259280184</v>
      </c>
      <c r="S424" s="4" t="s">
        <v>35</v>
      </c>
    </row>
    <row r="425" customFormat="false" ht="14.25" hidden="false" customHeight="true" outlineLevel="0" collapsed="false">
      <c r="A425" s="3" t="s">
        <v>43</v>
      </c>
      <c r="B425" s="4" t="s">
        <v>608</v>
      </c>
      <c r="C425" s="4" t="s">
        <v>611</v>
      </c>
      <c r="D425" s="4" t="s">
        <v>610</v>
      </c>
      <c r="E425" s="3" t="s">
        <v>39</v>
      </c>
      <c r="F425" s="3" t="n">
        <v>540</v>
      </c>
      <c r="G425" s="4" t="s">
        <v>46</v>
      </c>
      <c r="H425" s="5" t="n">
        <v>74000</v>
      </c>
      <c r="I425" s="3" t="s">
        <v>55</v>
      </c>
      <c r="J425" s="6" t="n">
        <v>200</v>
      </c>
      <c r="K425" s="6" t="n">
        <v>240</v>
      </c>
      <c r="L425" s="7" t="n">
        <f aca="false">K425*1.35582</f>
        <v>325.3968</v>
      </c>
      <c r="M425" s="6" t="n">
        <v>1650</v>
      </c>
      <c r="N425" s="7" t="n">
        <f aca="false">M425*0.453592</f>
        <v>748.4268</v>
      </c>
      <c r="O425" s="3" t="s">
        <v>26</v>
      </c>
      <c r="P425" s="3" t="s">
        <v>34</v>
      </c>
      <c r="Q425" s="8" t="n">
        <f aca="false">J425/M425</f>
        <v>0.121212121212121</v>
      </c>
      <c r="R425" s="8" t="n">
        <f aca="false">J425/N425</f>
        <v>0.267227202446519</v>
      </c>
      <c r="S425" s="4" t="s">
        <v>35</v>
      </c>
    </row>
    <row r="426" customFormat="false" ht="14.25" hidden="false" customHeight="true" outlineLevel="0" collapsed="false">
      <c r="A426" s="3" t="s">
        <v>133</v>
      </c>
      <c r="B426" s="4" t="s">
        <v>612</v>
      </c>
      <c r="C426" s="4" t="s">
        <v>613</v>
      </c>
      <c r="D426" s="4" t="s">
        <v>136</v>
      </c>
      <c r="E426" s="3" t="s">
        <v>70</v>
      </c>
      <c r="F426" s="3" t="n">
        <v>627</v>
      </c>
      <c r="G426" s="4" t="s">
        <v>110</v>
      </c>
      <c r="H426" s="5" t="n">
        <v>220000</v>
      </c>
      <c r="I426" s="3" t="s">
        <v>66</v>
      </c>
      <c r="J426" s="6" t="n">
        <v>250</v>
      </c>
      <c r="K426" s="6" t="n">
        <v>225</v>
      </c>
      <c r="L426" s="7" t="n">
        <f aca="false">K426*1.35582</f>
        <v>305.0595</v>
      </c>
      <c r="M426" s="6" t="n">
        <v>2271</v>
      </c>
      <c r="N426" s="7" t="n">
        <f aca="false">M426*0.453592</f>
        <v>1030.107432</v>
      </c>
      <c r="O426" s="3" t="s">
        <v>62</v>
      </c>
      <c r="P426" s="3" t="s">
        <v>67</v>
      </c>
      <c r="Q426" s="8" t="n">
        <f aca="false">J426/M426</f>
        <v>0.110083663584324</v>
      </c>
      <c r="R426" s="8" t="n">
        <f aca="false">J426/N426</f>
        <v>0.242693133001297</v>
      </c>
      <c r="S426" s="4" t="s">
        <v>112</v>
      </c>
    </row>
    <row r="427" customFormat="false" ht="14.25" hidden="false" customHeight="true" outlineLevel="0" collapsed="false">
      <c r="A427" s="3" t="s">
        <v>80</v>
      </c>
      <c r="B427" s="4" t="s">
        <v>614</v>
      </c>
      <c r="C427" s="4" t="s">
        <v>615</v>
      </c>
      <c r="D427" s="4" t="s">
        <v>42</v>
      </c>
      <c r="E427" s="3" t="s">
        <v>32</v>
      </c>
      <c r="F427" s="3" t="n">
        <v>158</v>
      </c>
      <c r="G427" s="4" t="s">
        <v>110</v>
      </c>
      <c r="H427" s="5" t="n">
        <v>39000</v>
      </c>
      <c r="I427" s="3" t="s">
        <v>25</v>
      </c>
      <c r="J427" s="6" t="n">
        <v>75</v>
      </c>
      <c r="K427" s="6" t="n">
        <v>80</v>
      </c>
      <c r="L427" s="7" t="n">
        <f aca="false">K427*1.35582</f>
        <v>108.4656</v>
      </c>
      <c r="M427" s="6" t="n">
        <v>1480</v>
      </c>
      <c r="N427" s="7" t="n">
        <f aca="false">M427*0.453592</f>
        <v>671.31616</v>
      </c>
      <c r="O427" s="3" t="s">
        <v>47</v>
      </c>
      <c r="P427" s="3" t="s">
        <v>27</v>
      </c>
      <c r="Q427" s="8" t="n">
        <f aca="false">J427/M427</f>
        <v>0.0506756756756757</v>
      </c>
      <c r="R427" s="8" t="n">
        <f aca="false">J427/N427</f>
        <v>0.111720832103908</v>
      </c>
      <c r="S427" s="4" t="s">
        <v>35</v>
      </c>
    </row>
    <row r="428" customFormat="false" ht="14.25" hidden="false" customHeight="true" outlineLevel="0" collapsed="false">
      <c r="A428" s="3" t="s">
        <v>203</v>
      </c>
      <c r="B428" s="4" t="s">
        <v>614</v>
      </c>
      <c r="C428" s="4" t="s">
        <v>616</v>
      </c>
      <c r="D428" s="4" t="s">
        <v>38</v>
      </c>
      <c r="E428" s="3" t="s">
        <v>39</v>
      </c>
      <c r="F428" s="3" t="n">
        <v>509</v>
      </c>
      <c r="G428" s="4" t="s">
        <v>110</v>
      </c>
      <c r="H428" s="5" t="n">
        <v>30000</v>
      </c>
      <c r="I428" s="3" t="s">
        <v>25</v>
      </c>
      <c r="J428" s="6" t="n">
        <v>215</v>
      </c>
      <c r="K428" s="6" t="n">
        <v>206</v>
      </c>
      <c r="L428" s="7" t="n">
        <f aca="false">K428*1.35582</f>
        <v>279.29892</v>
      </c>
      <c r="M428" s="6" t="n">
        <v>2557</v>
      </c>
      <c r="N428" s="7" t="n">
        <f aca="false">M428*0.453592</f>
        <v>1159.834744</v>
      </c>
      <c r="O428" s="3" t="s">
        <v>47</v>
      </c>
      <c r="P428" s="3" t="s">
        <v>27</v>
      </c>
      <c r="Q428" s="8" t="n">
        <f aca="false">J428/M428</f>
        <v>0.0840829096597575</v>
      </c>
      <c r="R428" s="8" t="n">
        <f aca="false">J428/N428</f>
        <v>0.185371235956008</v>
      </c>
      <c r="S428" s="4" t="s">
        <v>35</v>
      </c>
    </row>
    <row r="429" customFormat="false" ht="14.25" hidden="false" customHeight="true" outlineLevel="0" collapsed="false">
      <c r="A429" s="3" t="s">
        <v>76</v>
      </c>
      <c r="B429" s="4" t="s">
        <v>614</v>
      </c>
      <c r="C429" s="4" t="s">
        <v>616</v>
      </c>
      <c r="D429" s="4" t="s">
        <v>147</v>
      </c>
      <c r="E429" s="3" t="s">
        <v>39</v>
      </c>
      <c r="F429" s="3" t="n">
        <v>599</v>
      </c>
      <c r="G429" s="4" t="s">
        <v>110</v>
      </c>
      <c r="H429" s="5"/>
      <c r="I429" s="3"/>
      <c r="J429" s="6" t="n">
        <v>302</v>
      </c>
      <c r="K429" s="6" t="n">
        <v>332</v>
      </c>
      <c r="L429" s="7" t="n">
        <f aca="false">K429*1.35582</f>
        <v>450.13224</v>
      </c>
      <c r="M429" s="6" t="n">
        <v>2855</v>
      </c>
      <c r="N429" s="7" t="n">
        <f aca="false">M429*0.453592</f>
        <v>1295.00516</v>
      </c>
      <c r="O429" s="3"/>
      <c r="P429" s="3"/>
      <c r="Q429" s="8" t="n">
        <f aca="false">J429/M429</f>
        <v>0.105779334500876</v>
      </c>
      <c r="R429" s="8" t="n">
        <f aca="false">J429/N429</f>
        <v>0.233203703991419</v>
      </c>
      <c r="S429" s="4" t="s">
        <v>28</v>
      </c>
    </row>
    <row r="430" customFormat="false" ht="14.25" hidden="false" customHeight="true" outlineLevel="0" collapsed="false">
      <c r="A430" s="3" t="s">
        <v>106</v>
      </c>
      <c r="B430" s="4" t="s">
        <v>614</v>
      </c>
      <c r="C430" s="4" t="s">
        <v>617</v>
      </c>
      <c r="D430" s="4" t="s">
        <v>349</v>
      </c>
      <c r="E430" s="3" t="s">
        <v>39</v>
      </c>
      <c r="F430" s="3" t="n">
        <v>523</v>
      </c>
      <c r="G430" s="4" t="s">
        <v>110</v>
      </c>
      <c r="H430" s="5" t="n">
        <v>220000</v>
      </c>
      <c r="I430" s="3" t="s">
        <v>55</v>
      </c>
      <c r="J430" s="6" t="n">
        <v>307</v>
      </c>
      <c r="K430" s="6" t="n">
        <v>516</v>
      </c>
      <c r="L430" s="7" t="n">
        <f aca="false">K430*1.35582</f>
        <v>699.60312</v>
      </c>
      <c r="M430" s="6" t="n">
        <v>4299</v>
      </c>
      <c r="N430" s="7" t="n">
        <f aca="false">M430*0.453592</f>
        <v>1949.992008</v>
      </c>
      <c r="O430" s="3" t="s">
        <v>62</v>
      </c>
      <c r="P430" s="3" t="s">
        <v>27</v>
      </c>
      <c r="Q430" s="8" t="n">
        <f aca="false">J430/M430</f>
        <v>0.0714119562688998</v>
      </c>
      <c r="R430" s="8" t="n">
        <f aca="false">J430/N430</f>
        <v>0.157436542683512</v>
      </c>
      <c r="S430" s="4" t="s">
        <v>35</v>
      </c>
    </row>
    <row r="431" customFormat="false" ht="14.25" hidden="false" customHeight="true" outlineLevel="0" collapsed="false">
      <c r="A431" s="3" t="s">
        <v>100</v>
      </c>
      <c r="B431" s="4" t="s">
        <v>614</v>
      </c>
      <c r="C431" s="4" t="s">
        <v>618</v>
      </c>
      <c r="D431" s="4" t="s">
        <v>349</v>
      </c>
      <c r="E431" s="3" t="s">
        <v>39</v>
      </c>
      <c r="F431" s="3" t="n">
        <v>514</v>
      </c>
      <c r="G431" s="4" t="s">
        <v>110</v>
      </c>
      <c r="H431" s="5"/>
      <c r="I431" s="3"/>
      <c r="J431" s="6" t="n">
        <v>362</v>
      </c>
      <c r="K431" s="6" t="n">
        <v>536</v>
      </c>
      <c r="L431" s="7" t="n">
        <f aca="false">K431*1.35582</f>
        <v>726.71952</v>
      </c>
      <c r="M431" s="6" t="n">
        <v>4328</v>
      </c>
      <c r="N431" s="7" t="n">
        <f aca="false">M431*0.453592</f>
        <v>1963.146176</v>
      </c>
      <c r="O431" s="3"/>
      <c r="P431" s="3"/>
      <c r="Q431" s="8" t="n">
        <f aca="false">J431/M431</f>
        <v>0.083641404805915</v>
      </c>
      <c r="R431" s="8" t="n">
        <f aca="false">J431/N431</f>
        <v>0.184397883573597</v>
      </c>
      <c r="S431" s="4" t="s">
        <v>84</v>
      </c>
    </row>
    <row r="432" customFormat="false" ht="14.25" hidden="false" customHeight="true" outlineLevel="0" collapsed="false">
      <c r="A432" s="3" t="s">
        <v>195</v>
      </c>
      <c r="B432" s="4" t="s">
        <v>619</v>
      </c>
      <c r="C432" s="4" t="s">
        <v>620</v>
      </c>
      <c r="D432" s="4" t="s">
        <v>103</v>
      </c>
      <c r="E432" s="3" t="s">
        <v>88</v>
      </c>
      <c r="F432" s="3" t="n">
        <v>962</v>
      </c>
      <c r="G432" s="4" t="s">
        <v>168</v>
      </c>
      <c r="H432" s="5" t="n">
        <v>90000</v>
      </c>
      <c r="I432" s="3" t="s">
        <v>447</v>
      </c>
      <c r="J432" s="6"/>
      <c r="K432" s="6"/>
      <c r="L432" s="7"/>
      <c r="M432" s="6"/>
      <c r="N432" s="7"/>
      <c r="O432" s="3"/>
      <c r="P432" s="3"/>
      <c r="Q432" s="8"/>
      <c r="R432" s="8"/>
      <c r="S432" s="4" t="s">
        <v>188</v>
      </c>
    </row>
    <row r="433" customFormat="false" ht="14.25" hidden="false" customHeight="true" outlineLevel="0" collapsed="false">
      <c r="A433" s="3" t="s">
        <v>85</v>
      </c>
      <c r="B433" s="4" t="s">
        <v>619</v>
      </c>
      <c r="C433" s="4" t="s">
        <v>621</v>
      </c>
      <c r="D433" s="4" t="s">
        <v>171</v>
      </c>
      <c r="E433" s="3" t="s">
        <v>32</v>
      </c>
      <c r="F433" s="3" t="n">
        <v>166</v>
      </c>
      <c r="G433" s="4" t="s">
        <v>168</v>
      </c>
      <c r="H433" s="5" t="n">
        <v>100000</v>
      </c>
      <c r="I433" s="3" t="s">
        <v>55</v>
      </c>
      <c r="J433" s="6" t="n">
        <v>39</v>
      </c>
      <c r="K433" s="6" t="n">
        <v>38</v>
      </c>
      <c r="L433" s="7" t="n">
        <f aca="false">K433*1.35582</f>
        <v>51.52116</v>
      </c>
      <c r="M433" s="6" t="n">
        <v>1400</v>
      </c>
      <c r="N433" s="7" t="n">
        <f aca="false">M433*0.453592</f>
        <v>635.0288</v>
      </c>
      <c r="O433" s="3" t="s">
        <v>26</v>
      </c>
      <c r="P433" s="3" t="s">
        <v>27</v>
      </c>
      <c r="Q433" s="8" t="n">
        <f aca="false">J433/M433</f>
        <v>0.0278571428571429</v>
      </c>
      <c r="R433" s="8" t="n">
        <f aca="false">J433/N433</f>
        <v>0.0614145374194052</v>
      </c>
      <c r="S433" s="4" t="s">
        <v>75</v>
      </c>
    </row>
    <row r="434" customFormat="false" ht="14.25" hidden="false" customHeight="true" outlineLevel="0" collapsed="false">
      <c r="A434" s="3" t="s">
        <v>178</v>
      </c>
      <c r="B434" s="4" t="s">
        <v>619</v>
      </c>
      <c r="C434" s="4" t="s">
        <v>622</v>
      </c>
      <c r="D434" s="4" t="s">
        <v>120</v>
      </c>
      <c r="E434" s="3" t="s">
        <v>23</v>
      </c>
      <c r="F434" s="3" t="n">
        <v>436</v>
      </c>
      <c r="G434" s="4" t="s">
        <v>168</v>
      </c>
      <c r="H434" s="5" t="n">
        <v>35000</v>
      </c>
      <c r="I434" s="3" t="s">
        <v>33</v>
      </c>
      <c r="J434" s="6" t="n">
        <v>210</v>
      </c>
      <c r="K434" s="6" t="n">
        <v>214</v>
      </c>
      <c r="L434" s="7" t="n">
        <f aca="false">K434*1.35582</f>
        <v>290.14548</v>
      </c>
      <c r="M434" s="6" t="n">
        <v>3199</v>
      </c>
      <c r="N434" s="7" t="n">
        <f aca="false">M434*0.453592</f>
        <v>1451.040808</v>
      </c>
      <c r="O434" s="3" t="s">
        <v>62</v>
      </c>
      <c r="P434" s="3" t="s">
        <v>27</v>
      </c>
      <c r="Q434" s="8" t="n">
        <f aca="false">J434/M434</f>
        <v>0.0656455142231947</v>
      </c>
      <c r="R434" s="8" t="n">
        <f aca="false">J434/N434</f>
        <v>0.144723703731977</v>
      </c>
      <c r="S434" s="4" t="s">
        <v>35</v>
      </c>
    </row>
    <row r="435" customFormat="false" ht="14.25" hidden="false" customHeight="true" outlineLevel="0" collapsed="false">
      <c r="A435" s="3" t="s">
        <v>58</v>
      </c>
      <c r="B435" s="4" t="s">
        <v>619</v>
      </c>
      <c r="C435" s="4" t="s">
        <v>623</v>
      </c>
      <c r="D435" s="4" t="s">
        <v>158</v>
      </c>
      <c r="E435" s="3" t="s">
        <v>23</v>
      </c>
      <c r="F435" s="3" t="n">
        <v>431</v>
      </c>
      <c r="G435" s="4" t="s">
        <v>168</v>
      </c>
      <c r="H435" s="5" t="n">
        <v>25000</v>
      </c>
      <c r="I435" s="3" t="s">
        <v>25</v>
      </c>
      <c r="J435" s="6" t="n">
        <v>237</v>
      </c>
      <c r="K435" s="6" t="n">
        <v>224</v>
      </c>
      <c r="L435" s="7" t="n">
        <f aca="false">K435*1.35582</f>
        <v>303.70368</v>
      </c>
      <c r="M435" s="6" t="n">
        <v>2976</v>
      </c>
      <c r="N435" s="7" t="n">
        <f aca="false">M435*0.453592</f>
        <v>1349.889792</v>
      </c>
      <c r="O435" s="3" t="s">
        <v>62</v>
      </c>
      <c r="P435" s="3" t="s">
        <v>27</v>
      </c>
      <c r="Q435" s="8" t="n">
        <f aca="false">J435/M435</f>
        <v>0.0796370967741936</v>
      </c>
      <c r="R435" s="8" t="n">
        <f aca="false">J435/N435</f>
        <v>0.175569888300926</v>
      </c>
      <c r="S435" s="4" t="s">
        <v>35</v>
      </c>
    </row>
    <row r="436" customFormat="false" ht="14.25" hidden="false" customHeight="true" outlineLevel="0" collapsed="false">
      <c r="A436" s="3" t="s">
        <v>194</v>
      </c>
      <c r="B436" s="4" t="s">
        <v>619</v>
      </c>
      <c r="C436" s="4" t="s">
        <v>624</v>
      </c>
      <c r="D436" s="4" t="s">
        <v>120</v>
      </c>
      <c r="E436" s="3" t="s">
        <v>23</v>
      </c>
      <c r="F436" s="3" t="n">
        <v>495</v>
      </c>
      <c r="G436" s="4" t="s">
        <v>168</v>
      </c>
      <c r="H436" s="5" t="n">
        <v>20000</v>
      </c>
      <c r="I436" s="3" t="s">
        <v>33</v>
      </c>
      <c r="J436" s="6" t="n">
        <v>320</v>
      </c>
      <c r="K436" s="6" t="n">
        <v>315</v>
      </c>
      <c r="L436" s="7" t="n">
        <f aca="false">K436*1.35582</f>
        <v>427.0833</v>
      </c>
      <c r="M436" s="6" t="n">
        <v>3704</v>
      </c>
      <c r="N436" s="7" t="n">
        <f aca="false">M436*0.453592</f>
        <v>1680.104768</v>
      </c>
      <c r="O436" s="3" t="s">
        <v>62</v>
      </c>
      <c r="P436" s="3" t="s">
        <v>27</v>
      </c>
      <c r="Q436" s="8" t="n">
        <f aca="false">J436/M436</f>
        <v>0.0863930885529158</v>
      </c>
      <c r="R436" s="8" t="n">
        <f aca="false">J436/N436</f>
        <v>0.190464312758858</v>
      </c>
      <c r="S436" s="4" t="s">
        <v>35</v>
      </c>
    </row>
    <row r="437" customFormat="false" ht="14.25" hidden="false" customHeight="true" outlineLevel="0" collapsed="false">
      <c r="A437" s="3" t="s">
        <v>178</v>
      </c>
      <c r="B437" s="4" t="s">
        <v>619</v>
      </c>
      <c r="C437" s="4" t="s">
        <v>625</v>
      </c>
      <c r="D437" s="4" t="s">
        <v>158</v>
      </c>
      <c r="E437" s="3" t="s">
        <v>39</v>
      </c>
      <c r="F437" s="3" t="n">
        <v>518</v>
      </c>
      <c r="G437" s="4" t="s">
        <v>168</v>
      </c>
      <c r="H437" s="5" t="n">
        <v>29000</v>
      </c>
      <c r="I437" s="3" t="s">
        <v>187</v>
      </c>
      <c r="J437" s="6" t="n">
        <v>267</v>
      </c>
      <c r="K437" s="6" t="n">
        <v>228</v>
      </c>
      <c r="L437" s="7" t="n">
        <f aca="false">K437*1.35582</f>
        <v>309.12696</v>
      </c>
      <c r="M437" s="6" t="n">
        <v>2778</v>
      </c>
      <c r="N437" s="7" t="n">
        <f aca="false">M437*0.453592</f>
        <v>1260.078576</v>
      </c>
      <c r="O437" s="3"/>
      <c r="P437" s="3"/>
      <c r="Q437" s="8" t="n">
        <f aca="false">J437/M437</f>
        <v>0.0961123110151188</v>
      </c>
      <c r="R437" s="8" t="n">
        <f aca="false">J437/N437</f>
        <v>0.211891547944229</v>
      </c>
      <c r="S437" s="4" t="s">
        <v>188</v>
      </c>
    </row>
    <row r="438" customFormat="false" ht="14.25" hidden="false" customHeight="true" outlineLevel="0" collapsed="false">
      <c r="A438" s="3" t="s">
        <v>148</v>
      </c>
      <c r="B438" s="4" t="s">
        <v>619</v>
      </c>
      <c r="C438" s="4" t="s">
        <v>626</v>
      </c>
      <c r="D438" s="4" t="s">
        <v>627</v>
      </c>
      <c r="E438" s="3" t="s">
        <v>39</v>
      </c>
      <c r="F438" s="3" t="n">
        <v>521</v>
      </c>
      <c r="G438" s="4" t="s">
        <v>168</v>
      </c>
      <c r="H438" s="5" t="n">
        <v>250000</v>
      </c>
      <c r="I438" s="3" t="s">
        <v>55</v>
      </c>
      <c r="J438" s="6" t="n">
        <v>286</v>
      </c>
      <c r="K438" s="6" t="n">
        <v>289</v>
      </c>
      <c r="L438" s="7" t="n">
        <f aca="false">K438*1.35582</f>
        <v>391.83198</v>
      </c>
      <c r="M438" s="6" t="n">
        <v>3285</v>
      </c>
      <c r="N438" s="7" t="n">
        <f aca="false">M438*0.453592</f>
        <v>1490.04972</v>
      </c>
      <c r="O438" s="3"/>
      <c r="P438" s="3"/>
      <c r="Q438" s="8" t="n">
        <f aca="false">J438/M438</f>
        <v>0.0870624048706241</v>
      </c>
      <c r="R438" s="8" t="n">
        <f aca="false">J438/N438</f>
        <v>0.191939903857705</v>
      </c>
      <c r="S438" s="4" t="s">
        <v>28</v>
      </c>
    </row>
    <row r="439" customFormat="false" ht="14.25" hidden="false" customHeight="true" outlineLevel="0" collapsed="false">
      <c r="A439" s="3" t="s">
        <v>48</v>
      </c>
      <c r="B439" s="4" t="s">
        <v>619</v>
      </c>
      <c r="C439" s="4" t="s">
        <v>628</v>
      </c>
      <c r="D439" s="4" t="s">
        <v>158</v>
      </c>
      <c r="E439" s="3" t="s">
        <v>39</v>
      </c>
      <c r="F439" s="3" t="n">
        <v>574</v>
      </c>
      <c r="G439" s="4" t="s">
        <v>168</v>
      </c>
      <c r="H439" s="5" t="n">
        <v>70000</v>
      </c>
      <c r="I439" s="3" t="s">
        <v>25</v>
      </c>
      <c r="J439" s="6" t="n">
        <v>276</v>
      </c>
      <c r="K439" s="6" t="n">
        <v>275</v>
      </c>
      <c r="L439" s="7" t="n">
        <f aca="false">K439*1.35582</f>
        <v>372.8505</v>
      </c>
      <c r="M439" s="6" t="n">
        <v>2822</v>
      </c>
      <c r="N439" s="7" t="n">
        <f aca="false">M439*0.453592</f>
        <v>1280.036624</v>
      </c>
      <c r="O439" s="3" t="s">
        <v>62</v>
      </c>
      <c r="P439" s="3" t="s">
        <v>27</v>
      </c>
      <c r="Q439" s="8" t="n">
        <f aca="false">J439/M439</f>
        <v>0.0978029766123317</v>
      </c>
      <c r="R439" s="8" t="n">
        <f aca="false">J439/N439</f>
        <v>0.215618830606209</v>
      </c>
      <c r="S439" s="4" t="s">
        <v>63</v>
      </c>
    </row>
    <row r="440" customFormat="false" ht="14.25" hidden="false" customHeight="true" outlineLevel="0" collapsed="false">
      <c r="A440" s="3" t="s">
        <v>431</v>
      </c>
      <c r="B440" s="4" t="s">
        <v>619</v>
      </c>
      <c r="C440" s="4" t="s">
        <v>629</v>
      </c>
      <c r="D440" s="4" t="s">
        <v>627</v>
      </c>
      <c r="E440" s="3" t="s">
        <v>39</v>
      </c>
      <c r="F440" s="3" t="n">
        <v>555</v>
      </c>
      <c r="G440" s="4" t="s">
        <v>168</v>
      </c>
      <c r="H440" s="5" t="n">
        <v>30000</v>
      </c>
      <c r="I440" s="3" t="s">
        <v>25</v>
      </c>
      <c r="J440" s="6" t="n">
        <v>305</v>
      </c>
      <c r="K440" s="6" t="n">
        <v>315</v>
      </c>
      <c r="L440" s="7" t="n">
        <f aca="false">K440*1.35582</f>
        <v>427.0833</v>
      </c>
      <c r="M440" s="6" t="n">
        <v>3109</v>
      </c>
      <c r="N440" s="7" t="n">
        <f aca="false">M440*0.453592</f>
        <v>1410.217528</v>
      </c>
      <c r="O440" s="3" t="s">
        <v>62</v>
      </c>
      <c r="P440" s="3" t="s">
        <v>27</v>
      </c>
      <c r="Q440" s="8" t="n">
        <f aca="false">J440/M440</f>
        <v>0.0981022836925056</v>
      </c>
      <c r="R440" s="8" t="n">
        <f aca="false">J440/N440</f>
        <v>0.216278690304295</v>
      </c>
      <c r="S440" s="4" t="s">
        <v>35</v>
      </c>
    </row>
    <row r="441" customFormat="false" ht="14.25" hidden="false" customHeight="true" outlineLevel="0" collapsed="false">
      <c r="A441" s="3" t="s">
        <v>431</v>
      </c>
      <c r="B441" s="4" t="s">
        <v>619</v>
      </c>
      <c r="C441" s="4" t="s">
        <v>630</v>
      </c>
      <c r="D441" s="4" t="s">
        <v>627</v>
      </c>
      <c r="E441" s="3" t="s">
        <v>70</v>
      </c>
      <c r="F441" s="3" t="n">
        <v>700</v>
      </c>
      <c r="G441" s="4" t="s">
        <v>168</v>
      </c>
      <c r="H441" s="5" t="n">
        <v>100000</v>
      </c>
      <c r="I441" s="3" t="s">
        <v>66</v>
      </c>
      <c r="J441" s="6" t="n">
        <v>331</v>
      </c>
      <c r="K441" s="6" t="n">
        <v>352</v>
      </c>
      <c r="L441" s="7" t="n">
        <f aca="false">K441*1.35582</f>
        <v>477.24864</v>
      </c>
      <c r="M441" s="6" t="n">
        <v>2833</v>
      </c>
      <c r="N441" s="7" t="n">
        <f aca="false">M441*0.453592</f>
        <v>1285.026136</v>
      </c>
      <c r="O441" s="3" t="s">
        <v>62</v>
      </c>
      <c r="P441" s="3" t="s">
        <v>27</v>
      </c>
      <c r="Q441" s="8" t="n">
        <f aca="false">J441/M441</f>
        <v>0.116837274973526</v>
      </c>
      <c r="R441" s="8" t="n">
        <f aca="false">J441/N441</f>
        <v>0.257582309594363</v>
      </c>
      <c r="S441" s="4" t="s">
        <v>75</v>
      </c>
    </row>
    <row r="442" customFormat="false" ht="14.25" hidden="false" customHeight="true" outlineLevel="0" collapsed="false">
      <c r="A442" s="3" t="s">
        <v>196</v>
      </c>
      <c r="B442" s="4" t="s">
        <v>619</v>
      </c>
      <c r="C442" s="4" t="s">
        <v>631</v>
      </c>
      <c r="D442" s="4" t="s">
        <v>627</v>
      </c>
      <c r="E442" s="3" t="s">
        <v>39</v>
      </c>
      <c r="F442" s="3" t="n">
        <v>534</v>
      </c>
      <c r="G442" s="4" t="s">
        <v>168</v>
      </c>
      <c r="H442" s="5" t="n">
        <v>25000</v>
      </c>
      <c r="I442" s="3" t="s">
        <v>25</v>
      </c>
      <c r="J442" s="6" t="n">
        <v>305</v>
      </c>
      <c r="K442" s="6" t="n">
        <v>315</v>
      </c>
      <c r="L442" s="7" t="n">
        <f aca="false">K442*1.35582</f>
        <v>427.0833</v>
      </c>
      <c r="M442" s="6" t="n">
        <v>3395</v>
      </c>
      <c r="N442" s="7" t="n">
        <f aca="false">M442*0.453592</f>
        <v>1539.94484</v>
      </c>
      <c r="O442" s="3" t="s">
        <v>62</v>
      </c>
      <c r="P442" s="3" t="s">
        <v>27</v>
      </c>
      <c r="Q442" s="8" t="n">
        <f aca="false">J442/M442</f>
        <v>0.0898379970544919</v>
      </c>
      <c r="R442" s="8" t="n">
        <f aca="false">J442/N442</f>
        <v>0.198059042166731</v>
      </c>
      <c r="S442" s="4" t="s">
        <v>35</v>
      </c>
    </row>
    <row r="443" customFormat="false" ht="14.25" hidden="false" customHeight="true" outlineLevel="0" collapsed="false">
      <c r="A443" s="3" t="s">
        <v>194</v>
      </c>
      <c r="B443" s="4" t="s">
        <v>619</v>
      </c>
      <c r="C443" s="4" t="s">
        <v>632</v>
      </c>
      <c r="D443" s="4" t="s">
        <v>260</v>
      </c>
      <c r="E443" s="3" t="s">
        <v>32</v>
      </c>
      <c r="F443" s="3" t="n">
        <v>346</v>
      </c>
      <c r="G443" s="4" t="s">
        <v>168</v>
      </c>
      <c r="H443" s="5" t="n">
        <v>50000</v>
      </c>
      <c r="I443" s="3" t="s">
        <v>447</v>
      </c>
      <c r="J443" s="6" t="n">
        <v>276</v>
      </c>
      <c r="K443" s="6" t="n">
        <v>257</v>
      </c>
      <c r="L443" s="7" t="n">
        <f aca="false">K443*1.35582</f>
        <v>348.44574</v>
      </c>
      <c r="M443" s="6" t="n">
        <v>4387</v>
      </c>
      <c r="N443" s="7" t="n">
        <f aca="false">M443*0.453592</f>
        <v>1989.908104</v>
      </c>
      <c r="O443" s="3"/>
      <c r="P443" s="3"/>
      <c r="Q443" s="8" t="n">
        <f aca="false">J443/M443</f>
        <v>0.0629131524960109</v>
      </c>
      <c r="R443" s="8" t="n">
        <f aca="false">J443/N443</f>
        <v>0.138699872343452</v>
      </c>
      <c r="S443" s="4" t="s">
        <v>188</v>
      </c>
    </row>
    <row r="444" customFormat="false" ht="14.25" hidden="false" customHeight="true" outlineLevel="0" collapsed="false">
      <c r="A444" s="3" t="s">
        <v>178</v>
      </c>
      <c r="B444" s="4" t="s">
        <v>619</v>
      </c>
      <c r="C444" s="4" t="s">
        <v>633</v>
      </c>
      <c r="D444" s="4" t="s">
        <v>260</v>
      </c>
      <c r="E444" s="3" t="s">
        <v>32</v>
      </c>
      <c r="F444" s="3" t="n">
        <v>190</v>
      </c>
      <c r="G444" s="4" t="s">
        <v>168</v>
      </c>
      <c r="H444" s="5" t="n">
        <v>25000</v>
      </c>
      <c r="I444" s="3" t="s">
        <v>25</v>
      </c>
      <c r="J444" s="6" t="n">
        <v>123</v>
      </c>
      <c r="K444" s="6" t="n">
        <v>215</v>
      </c>
      <c r="L444" s="7" t="n">
        <f aca="false">K444*1.35582</f>
        <v>291.5013</v>
      </c>
      <c r="M444" s="6" t="n">
        <v>4696</v>
      </c>
      <c r="N444" s="7" t="n">
        <f aca="false">M444*0.453592</f>
        <v>2130.068032</v>
      </c>
      <c r="O444" s="3" t="s">
        <v>62</v>
      </c>
      <c r="P444" s="3" t="s">
        <v>27</v>
      </c>
      <c r="Q444" s="8" t="n">
        <f aca="false">J444/M444</f>
        <v>0.0261925042589438</v>
      </c>
      <c r="R444" s="8" t="n">
        <f aca="false">J444/N444</f>
        <v>0.0577446345150351</v>
      </c>
      <c r="S444" s="4" t="s">
        <v>35</v>
      </c>
    </row>
    <row r="445" customFormat="false" ht="14.25" hidden="false" customHeight="true" outlineLevel="0" collapsed="false">
      <c r="A445" s="3" t="s">
        <v>192</v>
      </c>
      <c r="B445" s="4" t="s">
        <v>619</v>
      </c>
      <c r="C445" s="4" t="s">
        <v>634</v>
      </c>
      <c r="D445" s="4" t="s">
        <v>120</v>
      </c>
      <c r="E445" s="3" t="s">
        <v>23</v>
      </c>
      <c r="F445" s="3" t="n">
        <v>446</v>
      </c>
      <c r="G445" s="4" t="s">
        <v>168</v>
      </c>
      <c r="H445" s="5"/>
      <c r="I445" s="3"/>
      <c r="J445" s="6"/>
      <c r="K445" s="6"/>
      <c r="L445" s="7"/>
      <c r="M445" s="6"/>
      <c r="N445" s="7"/>
      <c r="O445" s="3"/>
      <c r="P445" s="3"/>
      <c r="Q445" s="8"/>
      <c r="R445" s="8"/>
      <c r="S445" s="4" t="s">
        <v>28</v>
      </c>
    </row>
    <row r="446" customFormat="false" ht="14.25" hidden="false" customHeight="true" outlineLevel="0" collapsed="false">
      <c r="A446" s="3" t="s">
        <v>156</v>
      </c>
      <c r="B446" s="4" t="s">
        <v>635</v>
      </c>
      <c r="C446" s="4" t="s">
        <v>636</v>
      </c>
      <c r="D446" s="4" t="s">
        <v>87</v>
      </c>
      <c r="E446" s="3" t="s">
        <v>109</v>
      </c>
      <c r="F446" s="3" t="n">
        <v>847</v>
      </c>
      <c r="G446" s="4" t="s">
        <v>168</v>
      </c>
      <c r="H446" s="5"/>
      <c r="I446" s="3"/>
      <c r="J446" s="6"/>
      <c r="K446" s="6"/>
      <c r="L446" s="7"/>
      <c r="M446" s="6"/>
      <c r="N446" s="7"/>
      <c r="O446" s="3"/>
      <c r="P446" s="3"/>
      <c r="Q446" s="8"/>
      <c r="R446" s="8"/>
      <c r="S446" s="4" t="s">
        <v>188</v>
      </c>
    </row>
    <row r="447" customFormat="false" ht="14.25" hidden="false" customHeight="true" outlineLevel="0" collapsed="false">
      <c r="A447" s="3" t="s">
        <v>85</v>
      </c>
      <c r="B447" s="4" t="s">
        <v>635</v>
      </c>
      <c r="C447" s="4" t="s">
        <v>637</v>
      </c>
      <c r="D447" s="4" t="s">
        <v>87</v>
      </c>
      <c r="E447" s="3" t="s">
        <v>109</v>
      </c>
      <c r="F447" s="3" t="n">
        <v>858</v>
      </c>
      <c r="G447" s="4" t="s">
        <v>168</v>
      </c>
      <c r="H447" s="5" t="n">
        <v>1500000</v>
      </c>
      <c r="I447" s="3" t="s">
        <v>66</v>
      </c>
      <c r="J447" s="6" t="n">
        <v>641</v>
      </c>
      <c r="K447" s="6" t="n">
        <v>492</v>
      </c>
      <c r="L447" s="7" t="n">
        <f aca="false">K447*1.35582</f>
        <v>667.06344</v>
      </c>
      <c r="M447" s="6" t="n">
        <v>2780</v>
      </c>
      <c r="N447" s="7" t="n">
        <f aca="false">M447*0.453592</f>
        <v>1260.98576</v>
      </c>
      <c r="O447" s="3" t="s">
        <v>62</v>
      </c>
      <c r="P447" s="3" t="s">
        <v>27</v>
      </c>
      <c r="Q447" s="8" t="n">
        <f aca="false">J447/M447</f>
        <v>0.230575539568345</v>
      </c>
      <c r="R447" s="8" t="n">
        <f aca="false">J447/N447</f>
        <v>0.508332465229425</v>
      </c>
      <c r="S447" s="4" t="s">
        <v>75</v>
      </c>
    </row>
    <row r="448" customFormat="false" ht="14.25" hidden="false" customHeight="true" outlineLevel="0" collapsed="false">
      <c r="A448" s="3" t="s">
        <v>598</v>
      </c>
      <c r="B448" s="4" t="s">
        <v>635</v>
      </c>
      <c r="C448" s="4" t="s">
        <v>638</v>
      </c>
      <c r="D448" s="4" t="s">
        <v>87</v>
      </c>
      <c r="E448" s="3" t="s">
        <v>109</v>
      </c>
      <c r="F448" s="3" t="n">
        <v>848</v>
      </c>
      <c r="G448" s="4" t="s">
        <v>168</v>
      </c>
      <c r="H448" s="5" t="n">
        <v>600000</v>
      </c>
      <c r="I448" s="3" t="s">
        <v>447</v>
      </c>
      <c r="J448" s="6"/>
      <c r="K448" s="6"/>
      <c r="L448" s="7"/>
      <c r="M448" s="6"/>
      <c r="N448" s="7"/>
      <c r="O448" s="3"/>
      <c r="P448" s="3"/>
      <c r="Q448" s="8"/>
      <c r="R448" s="8"/>
      <c r="S448" s="4" t="s">
        <v>188</v>
      </c>
    </row>
    <row r="449" customFormat="false" ht="14.25" hidden="false" customHeight="true" outlineLevel="0" collapsed="false">
      <c r="A449" s="3" t="s">
        <v>164</v>
      </c>
      <c r="B449" s="4" t="s">
        <v>635</v>
      </c>
      <c r="C449" s="4" t="s">
        <v>639</v>
      </c>
      <c r="D449" s="4" t="s">
        <v>103</v>
      </c>
      <c r="E449" s="3" t="s">
        <v>88</v>
      </c>
      <c r="F449" s="3" t="n">
        <v>923</v>
      </c>
      <c r="G449" s="4" t="s">
        <v>168</v>
      </c>
      <c r="H449" s="5" t="n">
        <v>570000</v>
      </c>
      <c r="I449" s="3" t="s">
        <v>55</v>
      </c>
      <c r="J449" s="6" t="n">
        <v>1000</v>
      </c>
      <c r="K449" s="6" t="n">
        <v>543</v>
      </c>
      <c r="L449" s="7" t="n">
        <f aca="false">K449*1.35582</f>
        <v>736.21026</v>
      </c>
      <c r="M449" s="6" t="n">
        <v>3197</v>
      </c>
      <c r="N449" s="7" t="n">
        <f aca="false">M449*0.453592</f>
        <v>1450.133624</v>
      </c>
      <c r="O449" s="3" t="s">
        <v>62</v>
      </c>
      <c r="P449" s="3" t="s">
        <v>27</v>
      </c>
      <c r="Q449" s="8" t="n">
        <f aca="false">J449/M449</f>
        <v>0.312793243665937</v>
      </c>
      <c r="R449" s="8" t="n">
        <f aca="false">J449/N449</f>
        <v>0.689591623454419</v>
      </c>
      <c r="S449" s="4" t="s">
        <v>75</v>
      </c>
    </row>
    <row r="450" customFormat="false" ht="14.25" hidden="false" customHeight="true" outlineLevel="0" collapsed="false">
      <c r="A450" s="3" t="s">
        <v>381</v>
      </c>
      <c r="B450" s="4" t="s">
        <v>635</v>
      </c>
      <c r="C450" s="4" t="s">
        <v>640</v>
      </c>
      <c r="D450" s="4" t="s">
        <v>103</v>
      </c>
      <c r="E450" s="3" t="s">
        <v>88</v>
      </c>
      <c r="F450" s="3" t="n">
        <v>996</v>
      </c>
      <c r="G450" s="4" t="s">
        <v>168</v>
      </c>
      <c r="H450" s="5" t="n">
        <v>400000</v>
      </c>
      <c r="I450" s="3" t="s">
        <v>55</v>
      </c>
      <c r="J450" s="6" t="n">
        <v>1051</v>
      </c>
      <c r="K450" s="6" t="n">
        <v>750</v>
      </c>
      <c r="L450" s="7" t="n">
        <f aca="false">K450*1.35582</f>
        <v>1016.865</v>
      </c>
      <c r="M450" s="6" t="n">
        <v>2323</v>
      </c>
      <c r="N450" s="7" t="n">
        <f aca="false">M450*0.453592</f>
        <v>1053.694216</v>
      </c>
      <c r="O450" s="3" t="s">
        <v>26</v>
      </c>
      <c r="P450" s="3" t="s">
        <v>27</v>
      </c>
      <c r="Q450" s="8" t="n">
        <f aca="false">J450/M450</f>
        <v>0.452432199741713</v>
      </c>
      <c r="R450" s="8" t="n">
        <f aca="false">J450/N450</f>
        <v>0.997443076028046</v>
      </c>
      <c r="S450" s="4" t="s">
        <v>75</v>
      </c>
    </row>
    <row r="451" customFormat="false" ht="14.25" hidden="false" customHeight="true" outlineLevel="0" collapsed="false">
      <c r="A451" s="3" t="s">
        <v>164</v>
      </c>
      <c r="B451" s="4" t="s">
        <v>635</v>
      </c>
      <c r="C451" s="4" t="s">
        <v>641</v>
      </c>
      <c r="D451" s="4" t="s">
        <v>120</v>
      </c>
      <c r="E451" s="3" t="s">
        <v>32</v>
      </c>
      <c r="F451" s="3" t="n">
        <v>339</v>
      </c>
      <c r="G451" s="4" t="s">
        <v>168</v>
      </c>
      <c r="H451" s="5"/>
      <c r="I451" s="3"/>
      <c r="J451" s="6" t="n">
        <v>155</v>
      </c>
      <c r="K451" s="6" t="n">
        <v>160</v>
      </c>
      <c r="L451" s="7" t="n">
        <f aca="false">K451*1.35582</f>
        <v>216.9312</v>
      </c>
      <c r="M451" s="6" t="n">
        <v>2915</v>
      </c>
      <c r="N451" s="7" t="n">
        <f aca="false">M451*0.453592</f>
        <v>1322.22068</v>
      </c>
      <c r="O451" s="3"/>
      <c r="P451" s="3"/>
      <c r="Q451" s="8" t="n">
        <f aca="false">J451/M451</f>
        <v>0.0531732418524871</v>
      </c>
      <c r="R451" s="8" t="n">
        <f aca="false">J451/N451</f>
        <v>0.117227027488331</v>
      </c>
      <c r="S451" s="4" t="s">
        <v>105</v>
      </c>
    </row>
    <row r="452" customFormat="false" ht="14.25" hidden="false" customHeight="true" outlineLevel="0" collapsed="false">
      <c r="A452" s="3" t="s">
        <v>159</v>
      </c>
      <c r="B452" s="4" t="s">
        <v>635</v>
      </c>
      <c r="C452" s="4" t="s">
        <v>642</v>
      </c>
      <c r="D452" s="4" t="s">
        <v>22</v>
      </c>
      <c r="E452" s="3" t="s">
        <v>39</v>
      </c>
      <c r="F452" s="3" t="n">
        <v>568</v>
      </c>
      <c r="G452" s="4" t="s">
        <v>168</v>
      </c>
      <c r="H452" s="5" t="n">
        <v>250000</v>
      </c>
      <c r="I452" s="3" t="s">
        <v>33</v>
      </c>
      <c r="J452" s="6" t="n">
        <v>332</v>
      </c>
      <c r="K452" s="6" t="n">
        <v>270</v>
      </c>
      <c r="L452" s="7" t="n">
        <f aca="false">K452*1.35582</f>
        <v>366.0714</v>
      </c>
      <c r="M452" s="6" t="n">
        <v>3267</v>
      </c>
      <c r="N452" s="7" t="n">
        <f aca="false">M452*0.453592</f>
        <v>1481.885064</v>
      </c>
      <c r="O452" s="3"/>
      <c r="P452" s="3"/>
      <c r="Q452" s="8" t="n">
        <f aca="false">J452/M452</f>
        <v>0.101622283440465</v>
      </c>
      <c r="R452" s="8" t="n">
        <f aca="false">J452/N452</f>
        <v>0.224038967707687</v>
      </c>
      <c r="S452" s="4" t="s">
        <v>28</v>
      </c>
    </row>
    <row r="453" customFormat="false" ht="14.25" hidden="false" customHeight="true" outlineLevel="0" collapsed="false">
      <c r="A453" s="3" t="s">
        <v>121</v>
      </c>
      <c r="B453" s="4" t="s">
        <v>635</v>
      </c>
      <c r="C453" s="4" t="s">
        <v>643</v>
      </c>
      <c r="D453" s="4" t="s">
        <v>22</v>
      </c>
      <c r="E453" s="3" t="s">
        <v>70</v>
      </c>
      <c r="F453" s="3" t="n">
        <v>603</v>
      </c>
      <c r="G453" s="4" t="s">
        <v>168</v>
      </c>
      <c r="H453" s="5" t="n">
        <v>46000</v>
      </c>
      <c r="I453" s="3" t="s">
        <v>25</v>
      </c>
      <c r="J453" s="6" t="n">
        <v>350</v>
      </c>
      <c r="K453" s="6" t="n">
        <v>276</v>
      </c>
      <c r="L453" s="7" t="n">
        <f aca="false">K453*1.35582</f>
        <v>374.20632</v>
      </c>
      <c r="M453" s="6" t="n">
        <v>3389</v>
      </c>
      <c r="N453" s="7" t="n">
        <f aca="false">M453*0.453592</f>
        <v>1537.223288</v>
      </c>
      <c r="O453" s="3" t="s">
        <v>26</v>
      </c>
      <c r="P453" s="3" t="s">
        <v>27</v>
      </c>
      <c r="Q453" s="8" t="n">
        <f aca="false">J453/M453</f>
        <v>0.1032753024491</v>
      </c>
      <c r="R453" s="8" t="n">
        <f aca="false">J453/N453</f>
        <v>0.227683253781151</v>
      </c>
      <c r="S453" s="4" t="s">
        <v>35</v>
      </c>
    </row>
    <row r="454" customFormat="false" ht="14.25" hidden="false" customHeight="true" outlineLevel="0" collapsed="false">
      <c r="A454" s="3" t="s">
        <v>211</v>
      </c>
      <c r="B454" s="4" t="s">
        <v>635</v>
      </c>
      <c r="C454" s="4" t="s">
        <v>644</v>
      </c>
      <c r="D454" s="4" t="s">
        <v>167</v>
      </c>
      <c r="E454" s="3" t="s">
        <v>32</v>
      </c>
      <c r="F454" s="3" t="n">
        <v>175</v>
      </c>
      <c r="G454" s="4" t="s">
        <v>168</v>
      </c>
      <c r="H454" s="5" t="n">
        <v>23000</v>
      </c>
      <c r="I454" s="3" t="s">
        <v>55</v>
      </c>
      <c r="J454" s="6" t="n">
        <v>51</v>
      </c>
      <c r="K454" s="6" t="n">
        <v>55</v>
      </c>
      <c r="L454" s="7" t="n">
        <f aca="false">K454*1.35582</f>
        <v>74.5701</v>
      </c>
      <c r="M454" s="6" t="n">
        <v>1543</v>
      </c>
      <c r="N454" s="7" t="n">
        <f aca="false">M454*0.453592</f>
        <v>699.892456</v>
      </c>
      <c r="O454" s="3"/>
      <c r="P454" s="3"/>
      <c r="Q454" s="8" t="n">
        <f aca="false">J454/M454</f>
        <v>0.033052495139339</v>
      </c>
      <c r="R454" s="8" t="n">
        <f aca="false">J454/N454</f>
        <v>0.0728683379321923</v>
      </c>
      <c r="S454" s="4" t="s">
        <v>28</v>
      </c>
    </row>
    <row r="455" customFormat="false" ht="14.25" hidden="false" customHeight="true" outlineLevel="0" collapsed="false">
      <c r="A455" s="3" t="s">
        <v>118</v>
      </c>
      <c r="B455" s="4" t="s">
        <v>635</v>
      </c>
      <c r="C455" s="4" t="s">
        <v>645</v>
      </c>
      <c r="D455" s="4" t="s">
        <v>120</v>
      </c>
      <c r="E455" s="3" t="s">
        <v>39</v>
      </c>
      <c r="F455" s="3" t="n">
        <v>534</v>
      </c>
      <c r="G455" s="4" t="s">
        <v>168</v>
      </c>
      <c r="H455" s="5" t="n">
        <v>18000</v>
      </c>
      <c r="I455" s="3" t="s">
        <v>33</v>
      </c>
      <c r="J455" s="6" t="n">
        <v>287</v>
      </c>
      <c r="K455" s="6" t="n">
        <v>273</v>
      </c>
      <c r="L455" s="7" t="n">
        <f aca="false">K455*1.35582</f>
        <v>370.13886</v>
      </c>
      <c r="M455" s="6" t="n">
        <v>3310</v>
      </c>
      <c r="N455" s="7" t="n">
        <f aca="false">M455*0.453592</f>
        <v>1501.38952</v>
      </c>
      <c r="O455" s="3" t="s">
        <v>26</v>
      </c>
      <c r="P455" s="3" t="s">
        <v>27</v>
      </c>
      <c r="Q455" s="8" t="n">
        <f aca="false">J455/M455</f>
        <v>0.0867069486404834</v>
      </c>
      <c r="R455" s="8" t="n">
        <f aca="false">J455/N455</f>
        <v>0.19115625637243</v>
      </c>
      <c r="S455" s="4" t="s">
        <v>35</v>
      </c>
    </row>
    <row r="456" customFormat="false" ht="14.25" hidden="false" customHeight="true" outlineLevel="0" collapsed="false">
      <c r="A456" s="3" t="s">
        <v>233</v>
      </c>
      <c r="B456" s="4" t="s">
        <v>635</v>
      </c>
      <c r="C456" s="4" t="s">
        <v>646</v>
      </c>
      <c r="D456" s="4" t="s">
        <v>163</v>
      </c>
      <c r="E456" s="3" t="s">
        <v>32</v>
      </c>
      <c r="F456" s="3" t="n">
        <v>369</v>
      </c>
      <c r="G456" s="4" t="s">
        <v>168</v>
      </c>
      <c r="H456" s="5" t="n">
        <v>250000</v>
      </c>
      <c r="I456" s="3" t="s">
        <v>55</v>
      </c>
      <c r="J456" s="6" t="n">
        <v>160</v>
      </c>
      <c r="K456" s="6" t="n">
        <v>133</v>
      </c>
      <c r="L456" s="7" t="n">
        <f aca="false">K456*1.35582</f>
        <v>180.32406</v>
      </c>
      <c r="M456" s="6" t="n">
        <v>2308</v>
      </c>
      <c r="N456" s="7" t="n">
        <f aca="false">M456*0.453592</f>
        <v>1046.890336</v>
      </c>
      <c r="O456" s="3" t="s">
        <v>26</v>
      </c>
      <c r="P456" s="3" t="s">
        <v>27</v>
      </c>
      <c r="Q456" s="8" t="n">
        <f aca="false">J456/M456</f>
        <v>0.0693240901213172</v>
      </c>
      <c r="R456" s="8" t="n">
        <f aca="false">J456/N456</f>
        <v>0.152833581988477</v>
      </c>
      <c r="S456" s="4" t="s">
        <v>35</v>
      </c>
    </row>
    <row r="457" customFormat="false" ht="14.25" hidden="false" customHeight="true" outlineLevel="0" collapsed="false">
      <c r="A457" s="3" t="s">
        <v>322</v>
      </c>
      <c r="B457" s="4" t="s">
        <v>635</v>
      </c>
      <c r="C457" s="4" t="s">
        <v>647</v>
      </c>
      <c r="D457" s="4" t="s">
        <v>120</v>
      </c>
      <c r="E457" s="3" t="s">
        <v>23</v>
      </c>
      <c r="F457" s="3" t="n">
        <v>497</v>
      </c>
      <c r="G457" s="4" t="s">
        <v>168</v>
      </c>
      <c r="H457" s="5" t="n">
        <v>40000</v>
      </c>
      <c r="I457" s="3" t="s">
        <v>55</v>
      </c>
      <c r="J457" s="6" t="n">
        <v>276</v>
      </c>
      <c r="K457" s="6" t="n">
        <v>283</v>
      </c>
      <c r="L457" s="7" t="n">
        <f aca="false">K457*1.35582</f>
        <v>383.69706</v>
      </c>
      <c r="M457" s="6" t="n">
        <v>3351</v>
      </c>
      <c r="N457" s="7" t="n">
        <f aca="false">M457*0.453592</f>
        <v>1519.986792</v>
      </c>
      <c r="O457" s="3" t="s">
        <v>26</v>
      </c>
      <c r="P457" s="3" t="s">
        <v>27</v>
      </c>
      <c r="Q457" s="8" t="n">
        <f aca="false">J457/M457</f>
        <v>0.0823634735899732</v>
      </c>
      <c r="R457" s="8" t="n">
        <f aca="false">J457/N457</f>
        <v>0.181580525207616</v>
      </c>
      <c r="S457" s="4" t="s">
        <v>63</v>
      </c>
    </row>
    <row r="458" customFormat="false" ht="14.25" hidden="false" customHeight="true" outlineLevel="0" collapsed="false">
      <c r="A458" s="3" t="s">
        <v>413</v>
      </c>
      <c r="B458" s="4" t="s">
        <v>635</v>
      </c>
      <c r="C458" s="4" t="s">
        <v>648</v>
      </c>
      <c r="D458" s="4" t="s">
        <v>167</v>
      </c>
      <c r="E458" s="3" t="s">
        <v>32</v>
      </c>
      <c r="F458" s="3" t="n">
        <v>234</v>
      </c>
      <c r="G458" s="4" t="s">
        <v>168</v>
      </c>
      <c r="H458" s="5" t="n">
        <v>40000</v>
      </c>
      <c r="I458" s="3" t="s">
        <v>187</v>
      </c>
      <c r="J458" s="6" t="n">
        <v>75</v>
      </c>
      <c r="K458" s="6" t="n">
        <v>78</v>
      </c>
      <c r="L458" s="7" t="n">
        <f aca="false">K458*1.35582</f>
        <v>105.75396</v>
      </c>
      <c r="M458" s="6" t="n">
        <v>1786</v>
      </c>
      <c r="N458" s="7" t="n">
        <f aca="false">M458*0.453592</f>
        <v>810.115312</v>
      </c>
      <c r="O458" s="3"/>
      <c r="P458" s="3"/>
      <c r="Q458" s="8" t="n">
        <f aca="false">J458/M458</f>
        <v>0.041993281075028</v>
      </c>
      <c r="R458" s="8" t="n">
        <f aca="false">J458/N458</f>
        <v>0.092579412941648</v>
      </c>
      <c r="S458" s="4" t="s">
        <v>188</v>
      </c>
    </row>
    <row r="459" customFormat="false" ht="14.25" hidden="false" customHeight="true" outlineLevel="0" collapsed="false">
      <c r="A459" s="3" t="s">
        <v>178</v>
      </c>
      <c r="B459" s="4" t="s">
        <v>635</v>
      </c>
      <c r="C459" s="4" t="s">
        <v>649</v>
      </c>
      <c r="D459" s="4" t="s">
        <v>61</v>
      </c>
      <c r="E459" s="3" t="s">
        <v>23</v>
      </c>
      <c r="F459" s="3" t="n">
        <v>498</v>
      </c>
      <c r="G459" s="4" t="s">
        <v>168</v>
      </c>
      <c r="H459" s="5" t="n">
        <v>15000</v>
      </c>
      <c r="I459" s="3" t="s">
        <v>25</v>
      </c>
      <c r="J459" s="6" t="n">
        <v>267</v>
      </c>
      <c r="K459" s="6" t="n">
        <v>271</v>
      </c>
      <c r="L459" s="7" t="n">
        <f aca="false">K459*1.35582</f>
        <v>367.42722</v>
      </c>
      <c r="M459" s="6" t="n">
        <v>3505</v>
      </c>
      <c r="N459" s="7" t="n">
        <f aca="false">M459*0.453592</f>
        <v>1589.83996</v>
      </c>
      <c r="O459" s="3" t="s">
        <v>26</v>
      </c>
      <c r="P459" s="3" t="s">
        <v>27</v>
      </c>
      <c r="Q459" s="8" t="n">
        <f aca="false">J459/M459</f>
        <v>0.0761768901569187</v>
      </c>
      <c r="R459" s="8" t="n">
        <f aca="false">J459/N459</f>
        <v>0.1679414322936</v>
      </c>
      <c r="S459" s="4" t="s">
        <v>35</v>
      </c>
    </row>
    <row r="460" customFormat="false" ht="14.25" hidden="false" customHeight="true" outlineLevel="0" collapsed="false">
      <c r="A460" s="3" t="s">
        <v>19</v>
      </c>
      <c r="B460" s="4" t="s">
        <v>635</v>
      </c>
      <c r="C460" s="4" t="s">
        <v>650</v>
      </c>
      <c r="D460" s="4" t="s">
        <v>53</v>
      </c>
      <c r="E460" s="3" t="s">
        <v>54</v>
      </c>
      <c r="F460" s="3" t="n">
        <v>709</v>
      </c>
      <c r="G460" s="4" t="s">
        <v>168</v>
      </c>
      <c r="H460" s="5" t="n">
        <v>115000</v>
      </c>
      <c r="I460" s="3" t="s">
        <v>25</v>
      </c>
      <c r="J460" s="6" t="n">
        <v>565</v>
      </c>
      <c r="K460" s="6" t="n">
        <v>467</v>
      </c>
      <c r="L460" s="7" t="n">
        <f aca="false">K460*1.35582</f>
        <v>633.16794</v>
      </c>
      <c r="M460" s="6" t="n">
        <v>3933</v>
      </c>
      <c r="N460" s="7" t="n">
        <f aca="false">M460*0.453592</f>
        <v>1783.977336</v>
      </c>
      <c r="O460" s="3" t="s">
        <v>62</v>
      </c>
      <c r="P460" s="3" t="s">
        <v>27</v>
      </c>
      <c r="Q460" s="8" t="n">
        <f aca="false">J460/M460</f>
        <v>0.143656242054411</v>
      </c>
      <c r="R460" s="8" t="n">
        <f aca="false">J460/N460</f>
        <v>0.316708059344987</v>
      </c>
      <c r="S460" s="4" t="s">
        <v>35</v>
      </c>
    </row>
    <row r="461" customFormat="false" ht="14.25" hidden="false" customHeight="true" outlineLevel="0" collapsed="false">
      <c r="A461" s="3" t="s">
        <v>203</v>
      </c>
      <c r="B461" s="4" t="s">
        <v>635</v>
      </c>
      <c r="C461" s="4" t="s">
        <v>651</v>
      </c>
      <c r="D461" s="4" t="s">
        <v>53</v>
      </c>
      <c r="E461" s="3" t="s">
        <v>54</v>
      </c>
      <c r="F461" s="3" t="n">
        <v>703</v>
      </c>
      <c r="G461" s="4" t="s">
        <v>168</v>
      </c>
      <c r="H461" s="5" t="n">
        <v>80000</v>
      </c>
      <c r="I461" s="3" t="s">
        <v>25</v>
      </c>
      <c r="J461" s="6" t="n">
        <v>542</v>
      </c>
      <c r="K461" s="6" t="n">
        <v>466</v>
      </c>
      <c r="L461" s="7" t="n">
        <f aca="false">K461*1.35582</f>
        <v>631.81212</v>
      </c>
      <c r="M461" s="6" t="n">
        <v>3887</v>
      </c>
      <c r="N461" s="7" t="n">
        <f aca="false">M461*0.453592</f>
        <v>1763.112104</v>
      </c>
      <c r="O461" s="3" t="s">
        <v>62</v>
      </c>
      <c r="P461" s="3" t="s">
        <v>27</v>
      </c>
      <c r="Q461" s="8" t="n">
        <f aca="false">J461/M461</f>
        <v>0.139439156161564</v>
      </c>
      <c r="R461" s="8" t="n">
        <f aca="false">J461/N461</f>
        <v>0.307410968803604</v>
      </c>
      <c r="S461" s="4" t="s">
        <v>35</v>
      </c>
    </row>
    <row r="462" customFormat="false" ht="14.25" hidden="false" customHeight="true" outlineLevel="0" collapsed="false">
      <c r="A462" s="3" t="s">
        <v>203</v>
      </c>
      <c r="B462" s="4" t="s">
        <v>635</v>
      </c>
      <c r="C462" s="4" t="s">
        <v>652</v>
      </c>
      <c r="D462" s="4" t="s">
        <v>103</v>
      </c>
      <c r="E462" s="3" t="s">
        <v>109</v>
      </c>
      <c r="F462" s="3" t="n">
        <v>850</v>
      </c>
      <c r="G462" s="4" t="s">
        <v>168</v>
      </c>
      <c r="H462" s="5" t="n">
        <v>750000</v>
      </c>
      <c r="I462" s="3" t="s">
        <v>296</v>
      </c>
      <c r="J462" s="6" t="n">
        <v>2790</v>
      </c>
      <c r="K462" s="6" t="n">
        <v>2287</v>
      </c>
      <c r="L462" s="7" t="n">
        <f aca="false">K462*1.35582</f>
        <v>3100.76034</v>
      </c>
      <c r="M462" s="6" t="n">
        <v>3979</v>
      </c>
      <c r="N462" s="7" t="n">
        <f aca="false">M462*0.453592</f>
        <v>1804.842568</v>
      </c>
      <c r="O462" s="3"/>
      <c r="P462" s="3"/>
      <c r="Q462" s="8" t="n">
        <f aca="false">J462/M462</f>
        <v>0.701181201306861</v>
      </c>
      <c r="R462" s="8" t="n">
        <f aca="false">J462/N462</f>
        <v>1.5458411993749</v>
      </c>
      <c r="S462" s="4" t="s">
        <v>105</v>
      </c>
    </row>
    <row r="463" customFormat="false" ht="14.25" hidden="false" customHeight="true" outlineLevel="0" collapsed="false">
      <c r="A463" s="3" t="s">
        <v>141</v>
      </c>
      <c r="B463" s="4" t="s">
        <v>635</v>
      </c>
      <c r="C463" s="4" t="s">
        <v>653</v>
      </c>
      <c r="D463" s="4" t="s">
        <v>171</v>
      </c>
      <c r="E463" s="3" t="s">
        <v>54</v>
      </c>
      <c r="F463" s="3" t="n">
        <v>736</v>
      </c>
      <c r="G463" s="4" t="s">
        <v>168</v>
      </c>
      <c r="H463" s="5" t="n">
        <v>270000</v>
      </c>
      <c r="I463" s="3" t="s">
        <v>55</v>
      </c>
      <c r="J463" s="6" t="n">
        <v>600</v>
      </c>
      <c r="K463" s="6" t="n">
        <v>481</v>
      </c>
      <c r="L463" s="7" t="n">
        <f aca="false">K463*1.35582</f>
        <v>652.14942</v>
      </c>
      <c r="M463" s="6" t="n">
        <v>3867</v>
      </c>
      <c r="N463" s="7" t="n">
        <f aca="false">M463*0.453592</f>
        <v>1754.040264</v>
      </c>
      <c r="O463" s="3" t="s">
        <v>62</v>
      </c>
      <c r="P463" s="3" t="s">
        <v>27</v>
      </c>
      <c r="Q463" s="8" t="n">
        <f aca="false">J463/M463</f>
        <v>0.155159038013964</v>
      </c>
      <c r="R463" s="8" t="n">
        <f aca="false">J463/N463</f>
        <v>0.342067404217809</v>
      </c>
      <c r="S463" s="4" t="s">
        <v>35</v>
      </c>
    </row>
    <row r="464" customFormat="false" ht="14.25" hidden="false" customHeight="true" outlineLevel="0" collapsed="false">
      <c r="A464" s="3" t="s">
        <v>207</v>
      </c>
      <c r="B464" s="4" t="s">
        <v>635</v>
      </c>
      <c r="C464" s="4" t="s">
        <v>653</v>
      </c>
      <c r="D464" s="4" t="s">
        <v>171</v>
      </c>
      <c r="E464" s="3" t="s">
        <v>54</v>
      </c>
      <c r="F464" s="3" t="n">
        <v>741</v>
      </c>
      <c r="G464" s="4" t="s">
        <v>168</v>
      </c>
      <c r="H464" s="5" t="n">
        <v>220000</v>
      </c>
      <c r="I464" s="3" t="s">
        <v>55</v>
      </c>
      <c r="J464" s="6" t="n">
        <v>600</v>
      </c>
      <c r="K464" s="6" t="n">
        <v>481</v>
      </c>
      <c r="L464" s="7" t="n">
        <f aca="false">K464*1.35582</f>
        <v>652.14942</v>
      </c>
      <c r="M464" s="6" t="n">
        <v>3867</v>
      </c>
      <c r="N464" s="7" t="n">
        <f aca="false">M464*0.453592</f>
        <v>1754.040264</v>
      </c>
      <c r="O464" s="3" t="s">
        <v>62</v>
      </c>
      <c r="P464" s="3" t="s">
        <v>27</v>
      </c>
      <c r="Q464" s="8" t="n">
        <f aca="false">J464/M464</f>
        <v>0.155159038013964</v>
      </c>
      <c r="R464" s="8" t="n">
        <f aca="false">J464/N464</f>
        <v>0.342067404217809</v>
      </c>
      <c r="S464" s="4" t="s">
        <v>99</v>
      </c>
    </row>
    <row r="465" customFormat="false" ht="14.25" hidden="false" customHeight="true" outlineLevel="0" collapsed="false">
      <c r="A465" s="3" t="s">
        <v>178</v>
      </c>
      <c r="B465" s="4" t="s">
        <v>635</v>
      </c>
      <c r="C465" s="4" t="s">
        <v>654</v>
      </c>
      <c r="D465" s="4" t="s">
        <v>120</v>
      </c>
      <c r="E465" s="3" t="s">
        <v>39</v>
      </c>
      <c r="F465" s="3" t="n">
        <v>545</v>
      </c>
      <c r="G465" s="4" t="s">
        <v>168</v>
      </c>
      <c r="H465" s="5" t="n">
        <v>1100000</v>
      </c>
      <c r="I465" s="3" t="s">
        <v>66</v>
      </c>
      <c r="J465" s="6" t="n">
        <v>300</v>
      </c>
      <c r="K465" s="6" t="n">
        <v>275</v>
      </c>
      <c r="L465" s="7" t="n">
        <f aca="false">K465*1.35582</f>
        <v>372.8505</v>
      </c>
      <c r="M465" s="6" t="n">
        <v>3483</v>
      </c>
      <c r="N465" s="7" t="n">
        <f aca="false">M465*0.453592</f>
        <v>1579.860936</v>
      </c>
      <c r="O465" s="3" t="s">
        <v>26</v>
      </c>
      <c r="P465" s="3" t="s">
        <v>27</v>
      </c>
      <c r="Q465" s="8" t="n">
        <f aca="false">J465/M465</f>
        <v>0.0861326442721792</v>
      </c>
      <c r="R465" s="8" t="n">
        <f aca="false">J465/N465</f>
        <v>0.189890130937449</v>
      </c>
      <c r="S465" s="4" t="s">
        <v>35</v>
      </c>
    </row>
    <row r="466" customFormat="false" ht="14.25" hidden="false" customHeight="true" outlineLevel="0" collapsed="false">
      <c r="A466" s="3" t="s">
        <v>325</v>
      </c>
      <c r="B466" s="4" t="s">
        <v>635</v>
      </c>
      <c r="C466" s="4" t="s">
        <v>655</v>
      </c>
      <c r="D466" s="4" t="s">
        <v>167</v>
      </c>
      <c r="E466" s="3" t="s">
        <v>32</v>
      </c>
      <c r="F466" s="3" t="n">
        <v>145</v>
      </c>
      <c r="G466" s="4" t="s">
        <v>168</v>
      </c>
      <c r="H466" s="5" t="n">
        <v>12000</v>
      </c>
      <c r="I466" s="3" t="s">
        <v>447</v>
      </c>
      <c r="J466" s="6" t="n">
        <v>51</v>
      </c>
      <c r="K466" s="6" t="n">
        <v>55</v>
      </c>
      <c r="L466" s="7" t="n">
        <f aca="false">K466*1.35582</f>
        <v>74.5701</v>
      </c>
      <c r="M466" s="6" t="n">
        <v>1676</v>
      </c>
      <c r="N466" s="7" t="n">
        <f aca="false">M466*0.453592</f>
        <v>760.220192</v>
      </c>
      <c r="O466" s="3"/>
      <c r="P466" s="3"/>
      <c r="Q466" s="8" t="n">
        <f aca="false">J466/M466</f>
        <v>0.0304295942720764</v>
      </c>
      <c r="R466" s="8" t="n">
        <f aca="false">J466/N466</f>
        <v>0.067085826628504</v>
      </c>
      <c r="S466" s="4" t="s">
        <v>188</v>
      </c>
    </row>
    <row r="467" customFormat="false" ht="14.25" hidden="false" customHeight="true" outlineLevel="0" collapsed="false">
      <c r="A467" s="3" t="s">
        <v>258</v>
      </c>
      <c r="B467" s="4" t="s">
        <v>635</v>
      </c>
      <c r="C467" s="4" t="s">
        <v>656</v>
      </c>
      <c r="D467" s="4" t="s">
        <v>349</v>
      </c>
      <c r="E467" s="3" t="s">
        <v>32</v>
      </c>
      <c r="F467" s="3" t="n">
        <v>157</v>
      </c>
      <c r="G467" s="4" t="s">
        <v>168</v>
      </c>
      <c r="H467" s="5" t="n">
        <v>20000</v>
      </c>
      <c r="I467" s="3" t="s">
        <v>33</v>
      </c>
      <c r="J467" s="6" t="n">
        <v>129</v>
      </c>
      <c r="K467" s="6" t="n">
        <v>217</v>
      </c>
      <c r="L467" s="7" t="n">
        <f aca="false">K467*1.35582</f>
        <v>294.21294</v>
      </c>
      <c r="M467" s="6" t="n">
        <v>3483</v>
      </c>
      <c r="N467" s="7" t="n">
        <f aca="false">M467*0.453592</f>
        <v>1579.860936</v>
      </c>
      <c r="O467" s="3" t="s">
        <v>62</v>
      </c>
      <c r="P467" s="3" t="s">
        <v>27</v>
      </c>
      <c r="Q467" s="8" t="n">
        <f aca="false">J467/M467</f>
        <v>0.037037037037037</v>
      </c>
      <c r="R467" s="8" t="n">
        <f aca="false">J467/N467</f>
        <v>0.0816527563031029</v>
      </c>
      <c r="S467" s="4" t="s">
        <v>75</v>
      </c>
    </row>
    <row r="468" customFormat="false" ht="14.25" hidden="false" customHeight="true" outlineLevel="0" collapsed="false">
      <c r="A468" s="3" t="s">
        <v>85</v>
      </c>
      <c r="B468" s="4" t="s">
        <v>635</v>
      </c>
      <c r="C468" s="4" t="s">
        <v>657</v>
      </c>
      <c r="D468" s="4" t="s">
        <v>158</v>
      </c>
      <c r="E468" s="3" t="s">
        <v>23</v>
      </c>
      <c r="F468" s="3" t="n">
        <v>486</v>
      </c>
      <c r="G468" s="4" t="s">
        <v>168</v>
      </c>
      <c r="H468" s="5" t="n">
        <v>28000</v>
      </c>
      <c r="I468" s="3" t="s">
        <v>25</v>
      </c>
      <c r="J468" s="6" t="n">
        <v>227</v>
      </c>
      <c r="K468" s="6" t="n">
        <v>209</v>
      </c>
      <c r="L468" s="7" t="n">
        <f aca="false">K468*1.35582</f>
        <v>283.36638</v>
      </c>
      <c r="M468" s="6" t="n">
        <v>2734</v>
      </c>
      <c r="N468" s="7" t="n">
        <f aca="false">M468*0.453592</f>
        <v>1240.120528</v>
      </c>
      <c r="O468" s="3" t="s">
        <v>62</v>
      </c>
      <c r="P468" s="3" t="s">
        <v>27</v>
      </c>
      <c r="Q468" s="8" t="n">
        <f aca="false">J468/M468</f>
        <v>0.0830285296269203</v>
      </c>
      <c r="R468" s="8" t="n">
        <f aca="false">J468/N468</f>
        <v>0.183046723987461</v>
      </c>
      <c r="S468" s="4" t="s">
        <v>35</v>
      </c>
    </row>
    <row r="469" customFormat="false" ht="14.25" hidden="false" customHeight="true" outlineLevel="0" collapsed="false">
      <c r="A469" s="3" t="s">
        <v>598</v>
      </c>
      <c r="B469" s="4" t="s">
        <v>635</v>
      </c>
      <c r="C469" s="4" t="s">
        <v>658</v>
      </c>
      <c r="D469" s="4" t="s">
        <v>186</v>
      </c>
      <c r="E469" s="3" t="s">
        <v>54</v>
      </c>
      <c r="F469" s="3" t="n">
        <v>774</v>
      </c>
      <c r="G469" s="4" t="s">
        <v>168</v>
      </c>
      <c r="H469" s="5" t="n">
        <v>1000000</v>
      </c>
      <c r="I469" s="3" t="s">
        <v>447</v>
      </c>
      <c r="J469" s="6" t="n">
        <v>550</v>
      </c>
      <c r="K469" s="6" t="n">
        <v>471</v>
      </c>
      <c r="L469" s="7" t="n">
        <f aca="false">K469*1.35582</f>
        <v>638.59122</v>
      </c>
      <c r="M469" s="6" t="n">
        <v>2264</v>
      </c>
      <c r="N469" s="7" t="n">
        <f aca="false">M469*0.453592</f>
        <v>1026.932288</v>
      </c>
      <c r="O469" s="3"/>
      <c r="P469" s="3"/>
      <c r="Q469" s="8" t="n">
        <f aca="false">J469/M469</f>
        <v>0.242932862190813</v>
      </c>
      <c r="R469" s="8" t="n">
        <f aca="false">J469/N469</f>
        <v>0.535575720451006</v>
      </c>
      <c r="S469" s="4" t="s">
        <v>188</v>
      </c>
    </row>
    <row r="470" customFormat="false" ht="14.25" hidden="false" customHeight="true" outlineLevel="0" collapsed="false">
      <c r="A470" s="3" t="s">
        <v>325</v>
      </c>
      <c r="B470" s="4" t="s">
        <v>635</v>
      </c>
      <c r="C470" s="4" t="s">
        <v>659</v>
      </c>
      <c r="D470" s="4" t="s">
        <v>167</v>
      </c>
      <c r="E470" s="3" t="s">
        <v>32</v>
      </c>
      <c r="F470" s="3" t="n">
        <v>131</v>
      </c>
      <c r="G470" s="4" t="s">
        <v>168</v>
      </c>
      <c r="H470" s="5" t="n">
        <v>19000</v>
      </c>
      <c r="I470" s="3" t="s">
        <v>25</v>
      </c>
      <c r="J470" s="6" t="n">
        <v>72</v>
      </c>
      <c r="K470" s="6" t="n">
        <v>85</v>
      </c>
      <c r="L470" s="7" t="n">
        <f aca="false">K470*1.35582</f>
        <v>115.2447</v>
      </c>
      <c r="M470" s="6" t="n">
        <v>2094</v>
      </c>
      <c r="N470" s="7" t="n">
        <f aca="false">M470*0.453592</f>
        <v>949.821648</v>
      </c>
      <c r="O470" s="3" t="s">
        <v>47</v>
      </c>
      <c r="P470" s="3" t="s">
        <v>27</v>
      </c>
      <c r="Q470" s="8" t="n">
        <f aca="false">J470/M470</f>
        <v>0.0343839541547278</v>
      </c>
      <c r="R470" s="8" t="n">
        <f aca="false">J470/N470</f>
        <v>0.0758037049919924</v>
      </c>
      <c r="S470" s="4" t="s">
        <v>35</v>
      </c>
    </row>
    <row r="471" customFormat="false" ht="14.25" hidden="false" customHeight="true" outlineLevel="0" collapsed="false">
      <c r="A471" s="3" t="s">
        <v>325</v>
      </c>
      <c r="B471" s="4" t="s">
        <v>635</v>
      </c>
      <c r="C471" s="4" t="s">
        <v>660</v>
      </c>
      <c r="D471" s="4" t="s">
        <v>171</v>
      </c>
      <c r="E471" s="3" t="s">
        <v>54</v>
      </c>
      <c r="F471" s="3" t="n">
        <v>800</v>
      </c>
      <c r="G471" s="4" t="s">
        <v>168</v>
      </c>
      <c r="H471" s="5"/>
      <c r="I471" s="3"/>
      <c r="J471" s="6" t="n">
        <v>346</v>
      </c>
      <c r="K471" s="6" t="n">
        <v>288</v>
      </c>
      <c r="L471" s="7" t="n">
        <f aca="false">K471*1.35582</f>
        <v>390.47616</v>
      </c>
      <c r="M471" s="6" t="n">
        <v>1770</v>
      </c>
      <c r="N471" s="7" t="n">
        <f aca="false">M471*0.453592</f>
        <v>802.85784</v>
      </c>
      <c r="O471" s="3"/>
      <c r="P471" s="3"/>
      <c r="Q471" s="8" t="n">
        <f aca="false">J471/M471</f>
        <v>0.195480225988701</v>
      </c>
      <c r="R471" s="8" t="n">
        <f aca="false">J471/N471</f>
        <v>0.430960479877733</v>
      </c>
      <c r="S471" s="4" t="s">
        <v>105</v>
      </c>
    </row>
    <row r="472" customFormat="false" ht="14.25" hidden="false" customHeight="true" outlineLevel="0" collapsed="false">
      <c r="A472" s="3" t="s">
        <v>384</v>
      </c>
      <c r="B472" s="4" t="s">
        <v>635</v>
      </c>
      <c r="C472" s="4" t="s">
        <v>661</v>
      </c>
      <c r="D472" s="4" t="s">
        <v>260</v>
      </c>
      <c r="E472" s="3" t="s">
        <v>32</v>
      </c>
      <c r="F472" s="3" t="n">
        <v>123</v>
      </c>
      <c r="G472" s="4" t="s">
        <v>168</v>
      </c>
      <c r="H472" s="5" t="n">
        <v>25000</v>
      </c>
      <c r="I472" s="3" t="s">
        <v>187</v>
      </c>
      <c r="J472" s="6" t="n">
        <v>108</v>
      </c>
      <c r="K472" s="6" t="n">
        <v>188</v>
      </c>
      <c r="L472" s="7" t="n">
        <f aca="false">K472*1.35582</f>
        <v>254.89416</v>
      </c>
      <c r="M472" s="6" t="n">
        <v>3671</v>
      </c>
      <c r="N472" s="7" t="n">
        <f aca="false">M472*0.453592</f>
        <v>1665.136232</v>
      </c>
      <c r="O472" s="3"/>
      <c r="P472" s="3"/>
      <c r="Q472" s="8" t="n">
        <f aca="false">J472/M472</f>
        <v>0.0294197766276219</v>
      </c>
      <c r="R472" s="8" t="n">
        <f aca="false">J472/N472</f>
        <v>0.0648595579896072</v>
      </c>
      <c r="S472" s="4" t="s">
        <v>188</v>
      </c>
    </row>
    <row r="473" customFormat="false" ht="14.25" hidden="false" customHeight="true" outlineLevel="0" collapsed="false">
      <c r="A473" s="3" t="s">
        <v>325</v>
      </c>
      <c r="B473" s="4" t="s">
        <v>635</v>
      </c>
      <c r="C473" s="4" t="s">
        <v>662</v>
      </c>
      <c r="D473" s="4" t="s">
        <v>120</v>
      </c>
      <c r="E473" s="3" t="s">
        <v>23</v>
      </c>
      <c r="F473" s="3" t="n">
        <v>455</v>
      </c>
      <c r="G473" s="4" t="s">
        <v>168</v>
      </c>
      <c r="H473" s="5" t="n">
        <v>40000</v>
      </c>
      <c r="I473" s="3" t="s">
        <v>33</v>
      </c>
      <c r="J473" s="6" t="n">
        <v>173</v>
      </c>
      <c r="K473" s="6" t="n">
        <v>166</v>
      </c>
      <c r="L473" s="7" t="n">
        <f aca="false">K473*1.35582</f>
        <v>225.06612</v>
      </c>
      <c r="M473" s="6" t="n">
        <v>2513</v>
      </c>
      <c r="N473" s="7" t="n">
        <f aca="false">M473*0.453592</f>
        <v>1139.876696</v>
      </c>
      <c r="O473" s="3" t="s">
        <v>26</v>
      </c>
      <c r="P473" s="3" t="s">
        <v>27</v>
      </c>
      <c r="Q473" s="8" t="n">
        <f aca="false">J473/M473</f>
        <v>0.0688420214882611</v>
      </c>
      <c r="R473" s="8" t="n">
        <f aca="false">J473/N473</f>
        <v>0.151770801707837</v>
      </c>
      <c r="S473" s="4" t="s">
        <v>63</v>
      </c>
    </row>
    <row r="474" customFormat="false" ht="14.25" hidden="false" customHeight="true" outlineLevel="0" collapsed="false">
      <c r="A474" s="3" t="s">
        <v>322</v>
      </c>
      <c r="B474" s="4" t="s">
        <v>635</v>
      </c>
      <c r="C474" s="4" t="s">
        <v>662</v>
      </c>
      <c r="D474" s="4" t="s">
        <v>120</v>
      </c>
      <c r="E474" s="3" t="s">
        <v>23</v>
      </c>
      <c r="F474" s="3" t="n">
        <v>499</v>
      </c>
      <c r="G474" s="4" t="s">
        <v>168</v>
      </c>
      <c r="H474" s="5" t="n">
        <v>20000</v>
      </c>
      <c r="I474" s="3" t="s">
        <v>33</v>
      </c>
      <c r="J474" s="6" t="n">
        <v>217</v>
      </c>
      <c r="K474" s="6" t="n">
        <v>202</v>
      </c>
      <c r="L474" s="7" t="n">
        <f aca="false">K474*1.35582</f>
        <v>273.87564</v>
      </c>
      <c r="M474" s="6" t="n">
        <v>2789</v>
      </c>
      <c r="N474" s="7" t="n">
        <f aca="false">M474*0.453592</f>
        <v>1265.068088</v>
      </c>
      <c r="O474" s="3" t="s">
        <v>26</v>
      </c>
      <c r="P474" s="3" t="s">
        <v>27</v>
      </c>
      <c r="Q474" s="8" t="n">
        <f aca="false">J474/M474</f>
        <v>0.0778056651129437</v>
      </c>
      <c r="R474" s="8" t="n">
        <f aca="false">J474/N474</f>
        <v>0.171532269336637</v>
      </c>
      <c r="S474" s="4" t="s">
        <v>35</v>
      </c>
    </row>
    <row r="475" customFormat="false" ht="14.25" hidden="false" customHeight="true" outlineLevel="0" collapsed="false">
      <c r="A475" s="3" t="s">
        <v>598</v>
      </c>
      <c r="B475" s="4" t="s">
        <v>635</v>
      </c>
      <c r="C475" s="4" t="s">
        <v>663</v>
      </c>
      <c r="D475" s="4" t="s">
        <v>120</v>
      </c>
      <c r="E475" s="3" t="s">
        <v>23</v>
      </c>
      <c r="F475" s="3" t="n">
        <v>494</v>
      </c>
      <c r="G475" s="4" t="s">
        <v>168</v>
      </c>
      <c r="H475" s="5" t="n">
        <v>22000</v>
      </c>
      <c r="I475" s="3" t="s">
        <v>33</v>
      </c>
      <c r="J475" s="6" t="n">
        <v>217</v>
      </c>
      <c r="K475" s="6" t="n">
        <v>202</v>
      </c>
      <c r="L475" s="7" t="n">
        <f aca="false">K475*1.35582</f>
        <v>273.87564</v>
      </c>
      <c r="M475" s="6" t="n">
        <v>2789</v>
      </c>
      <c r="N475" s="7" t="n">
        <f aca="false">M475*0.453592</f>
        <v>1265.068088</v>
      </c>
      <c r="O475" s="3" t="s">
        <v>26</v>
      </c>
      <c r="P475" s="3" t="s">
        <v>27</v>
      </c>
      <c r="Q475" s="8" t="n">
        <f aca="false">J475/M475</f>
        <v>0.0778056651129437</v>
      </c>
      <c r="R475" s="8" t="n">
        <f aca="false">J475/N475</f>
        <v>0.171532269336637</v>
      </c>
      <c r="S475" s="4" t="s">
        <v>35</v>
      </c>
    </row>
    <row r="476" customFormat="false" ht="14.25" hidden="false" customHeight="true" outlineLevel="0" collapsed="false">
      <c r="A476" s="3" t="s">
        <v>56</v>
      </c>
      <c r="B476" s="4" t="s">
        <v>635</v>
      </c>
      <c r="C476" s="4" t="s">
        <v>664</v>
      </c>
      <c r="D476" s="4" t="s">
        <v>120</v>
      </c>
      <c r="E476" s="3" t="s">
        <v>39</v>
      </c>
      <c r="F476" s="3" t="n">
        <v>551</v>
      </c>
      <c r="G476" s="4" t="s">
        <v>168</v>
      </c>
      <c r="H476" s="5" t="n">
        <v>44000</v>
      </c>
      <c r="I476" s="3" t="s">
        <v>33</v>
      </c>
      <c r="J476" s="6" t="n">
        <v>250</v>
      </c>
      <c r="K476" s="6" t="n">
        <v>205</v>
      </c>
      <c r="L476" s="7" t="n">
        <f aca="false">K476*1.35582</f>
        <v>277.9431</v>
      </c>
      <c r="M476" s="6" t="n">
        <v>2734</v>
      </c>
      <c r="N476" s="7" t="n">
        <f aca="false">M476*0.453592</f>
        <v>1240.120528</v>
      </c>
      <c r="O476" s="3" t="s">
        <v>26</v>
      </c>
      <c r="P476" s="3" t="s">
        <v>27</v>
      </c>
      <c r="Q476" s="8" t="n">
        <f aca="false">J476/M476</f>
        <v>0.091441111923921</v>
      </c>
      <c r="R476" s="8" t="n">
        <f aca="false">J476/N476</f>
        <v>0.201593308356234</v>
      </c>
      <c r="S476" s="4" t="s">
        <v>35</v>
      </c>
    </row>
    <row r="477" customFormat="false" ht="14.25" hidden="false" customHeight="true" outlineLevel="0" collapsed="false">
      <c r="A477" s="3" t="s">
        <v>156</v>
      </c>
      <c r="B477" s="4" t="s">
        <v>635</v>
      </c>
      <c r="C477" s="4" t="s">
        <v>665</v>
      </c>
      <c r="D477" s="4" t="s">
        <v>120</v>
      </c>
      <c r="E477" s="3" t="s">
        <v>23</v>
      </c>
      <c r="F477" s="3" t="n">
        <v>414</v>
      </c>
      <c r="G477" s="4" t="s">
        <v>168</v>
      </c>
      <c r="H477" s="5"/>
      <c r="I477" s="3"/>
      <c r="J477" s="6"/>
      <c r="K477" s="6"/>
      <c r="L477" s="7"/>
      <c r="M477" s="6"/>
      <c r="N477" s="7"/>
      <c r="O477" s="3"/>
      <c r="P477" s="3"/>
      <c r="Q477" s="8"/>
      <c r="R477" s="8"/>
      <c r="S477" s="4" t="s">
        <v>75</v>
      </c>
    </row>
    <row r="478" customFormat="false" ht="14.25" hidden="false" customHeight="true" outlineLevel="0" collapsed="false">
      <c r="A478" s="3" t="s">
        <v>607</v>
      </c>
      <c r="B478" s="4" t="s">
        <v>635</v>
      </c>
      <c r="C478" s="4" t="s">
        <v>666</v>
      </c>
      <c r="D478" s="4" t="s">
        <v>163</v>
      </c>
      <c r="E478" s="3" t="s">
        <v>32</v>
      </c>
      <c r="F478" s="3" t="n">
        <v>380</v>
      </c>
      <c r="G478" s="4" t="s">
        <v>168</v>
      </c>
      <c r="H478" s="5" t="n">
        <v>169000</v>
      </c>
      <c r="I478" s="3" t="s">
        <v>447</v>
      </c>
      <c r="J478" s="6" t="n">
        <v>160</v>
      </c>
      <c r="K478" s="6" t="n">
        <v>133</v>
      </c>
      <c r="L478" s="7" t="n">
        <f aca="false">K478*1.35582</f>
        <v>180.32406</v>
      </c>
      <c r="M478" s="6" t="n">
        <v>2425</v>
      </c>
      <c r="N478" s="7" t="n">
        <f aca="false">M478*0.453592</f>
        <v>1099.9606</v>
      </c>
      <c r="O478" s="3"/>
      <c r="P478" s="3"/>
      <c r="Q478" s="8" t="n">
        <f aca="false">J478/M478</f>
        <v>0.065979381443299</v>
      </c>
      <c r="R478" s="8" t="n">
        <f aca="false">J478/N478</f>
        <v>0.145459755558517</v>
      </c>
      <c r="S478" s="4" t="s">
        <v>188</v>
      </c>
    </row>
    <row r="479" customFormat="false" ht="14.25" hidden="false" customHeight="true" outlineLevel="0" collapsed="false">
      <c r="A479" s="3" t="s">
        <v>58</v>
      </c>
      <c r="B479" s="4" t="s">
        <v>635</v>
      </c>
      <c r="C479" s="4" t="s">
        <v>667</v>
      </c>
      <c r="D479" s="4" t="s">
        <v>120</v>
      </c>
      <c r="E479" s="3" t="s">
        <v>39</v>
      </c>
      <c r="F479" s="3" t="n">
        <v>541</v>
      </c>
      <c r="G479" s="4" t="s">
        <v>168</v>
      </c>
      <c r="H479" s="5" t="n">
        <v>72000</v>
      </c>
      <c r="I479" s="3" t="s">
        <v>25</v>
      </c>
      <c r="J479" s="6" t="n">
        <v>276</v>
      </c>
      <c r="K479" s="6" t="n">
        <v>260</v>
      </c>
      <c r="L479" s="7" t="n">
        <f aca="false">K479*1.35582</f>
        <v>352.5132</v>
      </c>
      <c r="M479" s="6" t="n">
        <v>3263</v>
      </c>
      <c r="N479" s="7" t="n">
        <f aca="false">M479*0.453592</f>
        <v>1480.070696</v>
      </c>
      <c r="O479" s="3" t="s">
        <v>62</v>
      </c>
      <c r="P479" s="3" t="s">
        <v>27</v>
      </c>
      <c r="Q479" s="8" t="n">
        <f aca="false">J479/M479</f>
        <v>0.0845847379711922</v>
      </c>
      <c r="R479" s="8" t="n">
        <f aca="false">J479/N479</f>
        <v>0.186477578906136</v>
      </c>
      <c r="S479" s="4" t="s">
        <v>35</v>
      </c>
    </row>
    <row r="480" customFormat="false" ht="14.25" hidden="false" customHeight="true" outlineLevel="0" collapsed="false">
      <c r="A480" s="3" t="s">
        <v>598</v>
      </c>
      <c r="B480" s="4" t="s">
        <v>635</v>
      </c>
      <c r="C480" s="4" t="s">
        <v>668</v>
      </c>
      <c r="D480" s="4" t="s">
        <v>120</v>
      </c>
      <c r="E480" s="3" t="s">
        <v>39</v>
      </c>
      <c r="F480" s="3" t="n">
        <v>547</v>
      </c>
      <c r="G480" s="4" t="s">
        <v>168</v>
      </c>
      <c r="H480" s="5" t="n">
        <v>120000</v>
      </c>
      <c r="I480" s="3" t="s">
        <v>66</v>
      </c>
      <c r="J480" s="6" t="n">
        <v>276</v>
      </c>
      <c r="K480" s="6" t="n">
        <v>271</v>
      </c>
      <c r="L480" s="7" t="n">
        <f aca="false">K480*1.35582</f>
        <v>367.42722</v>
      </c>
      <c r="M480" s="6" t="n">
        <v>3439</v>
      </c>
      <c r="N480" s="7" t="n">
        <f aca="false">M480*0.453592</f>
        <v>1559.902888</v>
      </c>
      <c r="O480" s="3" t="s">
        <v>62</v>
      </c>
      <c r="P480" s="3" t="s">
        <v>27</v>
      </c>
      <c r="Q480" s="8" t="n">
        <f aca="false">J480/M480</f>
        <v>0.0802558883396336</v>
      </c>
      <c r="R480" s="8" t="n">
        <f aca="false">J480/N480</f>
        <v>0.176934091297099</v>
      </c>
      <c r="S480" s="4" t="s">
        <v>75</v>
      </c>
    </row>
    <row r="481" customFormat="false" ht="14.25" hidden="false" customHeight="true" outlineLevel="0" collapsed="false">
      <c r="A481" s="3" t="s">
        <v>381</v>
      </c>
      <c r="B481" s="4" t="s">
        <v>635</v>
      </c>
      <c r="C481" s="4" t="s">
        <v>669</v>
      </c>
      <c r="D481" s="4" t="s">
        <v>120</v>
      </c>
      <c r="E481" s="3" t="s">
        <v>39</v>
      </c>
      <c r="F481" s="3" t="n">
        <v>590</v>
      </c>
      <c r="G481" s="4" t="s">
        <v>168</v>
      </c>
      <c r="H481" s="5" t="n">
        <v>200000</v>
      </c>
      <c r="I481" s="3" t="s">
        <v>25</v>
      </c>
      <c r="J481" s="6" t="n">
        <v>281</v>
      </c>
      <c r="K481" s="6" t="n">
        <v>289</v>
      </c>
      <c r="L481" s="7" t="n">
        <f aca="false">K481*1.35582</f>
        <v>391.83198</v>
      </c>
      <c r="M481" s="6" t="n">
        <v>3439</v>
      </c>
      <c r="N481" s="7" t="n">
        <f aca="false">M481*0.453592</f>
        <v>1559.902888</v>
      </c>
      <c r="O481" s="3" t="s">
        <v>62</v>
      </c>
      <c r="P481" s="3" t="s">
        <v>27</v>
      </c>
      <c r="Q481" s="8" t="n">
        <f aca="false">J481/M481</f>
        <v>0.0817097993602792</v>
      </c>
      <c r="R481" s="8" t="n">
        <f aca="false">J481/N481</f>
        <v>0.180139419037988</v>
      </c>
      <c r="S481" s="4" t="s">
        <v>35</v>
      </c>
    </row>
    <row r="482" customFormat="false" ht="14.25" hidden="false" customHeight="true" outlineLevel="0" collapsed="false">
      <c r="A482" s="3" t="s">
        <v>194</v>
      </c>
      <c r="B482" s="4" t="s">
        <v>635</v>
      </c>
      <c r="C482" s="4" t="s">
        <v>670</v>
      </c>
      <c r="D482" s="4" t="s">
        <v>120</v>
      </c>
      <c r="E482" s="3" t="s">
        <v>39</v>
      </c>
      <c r="F482" s="3" t="n">
        <v>555</v>
      </c>
      <c r="G482" s="4" t="s">
        <v>168</v>
      </c>
      <c r="H482" s="5" t="n">
        <v>250000</v>
      </c>
      <c r="I482" s="3" t="s">
        <v>25</v>
      </c>
      <c r="J482" s="6" t="n">
        <v>276</v>
      </c>
      <c r="K482" s="6" t="n">
        <v>271</v>
      </c>
      <c r="L482" s="7" t="n">
        <f aca="false">K482*1.35582</f>
        <v>367.42722</v>
      </c>
      <c r="M482" s="6" t="n">
        <v>3395</v>
      </c>
      <c r="N482" s="7" t="n">
        <f aca="false">M482*0.453592</f>
        <v>1539.94484</v>
      </c>
      <c r="O482" s="3"/>
      <c r="P482" s="3"/>
      <c r="Q482" s="8" t="n">
        <f aca="false">J482/M482</f>
        <v>0.0812960235640648</v>
      </c>
      <c r="R482" s="8" t="n">
        <f aca="false">J482/N482</f>
        <v>0.179227198813173</v>
      </c>
      <c r="S482" s="4" t="s">
        <v>28</v>
      </c>
    </row>
    <row r="483" customFormat="false" ht="14.25" hidden="false" customHeight="true" outlineLevel="0" collapsed="false">
      <c r="A483" s="3" t="s">
        <v>211</v>
      </c>
      <c r="B483" s="4" t="s">
        <v>635</v>
      </c>
      <c r="C483" s="4" t="s">
        <v>671</v>
      </c>
      <c r="D483" s="4" t="s">
        <v>120</v>
      </c>
      <c r="E483" s="3" t="s">
        <v>23</v>
      </c>
      <c r="F483" s="3" t="n">
        <v>432</v>
      </c>
      <c r="G483" s="4" t="s">
        <v>168</v>
      </c>
      <c r="H483" s="5"/>
      <c r="I483" s="3"/>
      <c r="J483" s="6" t="n">
        <v>206</v>
      </c>
      <c r="K483" s="6" t="n">
        <v>181</v>
      </c>
      <c r="L483" s="7" t="n">
        <f aca="false">K483*1.35582</f>
        <v>245.40342</v>
      </c>
      <c r="M483" s="6" t="n">
        <v>2965</v>
      </c>
      <c r="N483" s="7" t="n">
        <f aca="false">M483*0.453592</f>
        <v>1344.90028</v>
      </c>
      <c r="O483" s="3" t="s">
        <v>26</v>
      </c>
      <c r="P483" s="3" t="s">
        <v>27</v>
      </c>
      <c r="Q483" s="8" t="n">
        <f aca="false">J483/M483</f>
        <v>0.0694772344013491</v>
      </c>
      <c r="R483" s="8" t="n">
        <f aca="false">J483/N483</f>
        <v>0.153171207608047</v>
      </c>
      <c r="S483" s="4" t="s">
        <v>63</v>
      </c>
    </row>
    <row r="484" customFormat="false" ht="14.25" hidden="false" customHeight="true" outlineLevel="0" collapsed="false">
      <c r="A484" s="3" t="s">
        <v>175</v>
      </c>
      <c r="B484" s="4" t="s">
        <v>635</v>
      </c>
      <c r="C484" s="4" t="s">
        <v>672</v>
      </c>
      <c r="D484" s="4" t="s">
        <v>163</v>
      </c>
      <c r="E484" s="3" t="s">
        <v>23</v>
      </c>
      <c r="F484" s="3" t="n">
        <v>407</v>
      </c>
      <c r="G484" s="4" t="s">
        <v>168</v>
      </c>
      <c r="H484" s="5"/>
      <c r="I484" s="3"/>
      <c r="J484" s="6" t="n">
        <v>158</v>
      </c>
      <c r="K484" s="6" t="n">
        <v>130</v>
      </c>
      <c r="L484" s="7" t="n">
        <f aca="false">K484*1.35582</f>
        <v>176.2566</v>
      </c>
      <c r="M484" s="6" t="n">
        <v>2524</v>
      </c>
      <c r="N484" s="7" t="n">
        <f aca="false">M484*0.453592</f>
        <v>1144.866208</v>
      </c>
      <c r="O484" s="3" t="s">
        <v>26</v>
      </c>
      <c r="P484" s="3" t="s">
        <v>27</v>
      </c>
      <c r="Q484" s="8" t="n">
        <f aca="false">J484/M484</f>
        <v>0.0625990491283677</v>
      </c>
      <c r="R484" s="8" t="n">
        <f aca="false">J484/N484</f>
        <v>0.138007392388683</v>
      </c>
      <c r="S484" s="4" t="s">
        <v>35</v>
      </c>
    </row>
    <row r="485" customFormat="false" ht="14.25" hidden="false" customHeight="true" outlineLevel="0" collapsed="false">
      <c r="A485" s="3" t="s">
        <v>194</v>
      </c>
      <c r="B485" s="4" t="s">
        <v>635</v>
      </c>
      <c r="C485" s="4" t="s">
        <v>673</v>
      </c>
      <c r="D485" s="4" t="s">
        <v>61</v>
      </c>
      <c r="E485" s="3" t="s">
        <v>23</v>
      </c>
      <c r="F485" s="3" t="n">
        <v>439</v>
      </c>
      <c r="G485" s="4" t="s">
        <v>168</v>
      </c>
      <c r="H485" s="5" t="n">
        <v>20000</v>
      </c>
      <c r="I485" s="3" t="s">
        <v>55</v>
      </c>
      <c r="J485" s="6" t="n">
        <v>232</v>
      </c>
      <c r="K485" s="6" t="n">
        <v>202</v>
      </c>
      <c r="L485" s="7" t="n">
        <f aca="false">K485*1.35582</f>
        <v>273.87564</v>
      </c>
      <c r="M485" s="6" t="n">
        <v>3571</v>
      </c>
      <c r="N485" s="7" t="n">
        <f aca="false">M485*0.453592</f>
        <v>1619.777032</v>
      </c>
      <c r="O485" s="3" t="s">
        <v>62</v>
      </c>
      <c r="P485" s="3" t="s">
        <v>27</v>
      </c>
      <c r="Q485" s="8" t="n">
        <f aca="false">J485/M485</f>
        <v>0.0649677961355363</v>
      </c>
      <c r="R485" s="8" t="n">
        <f aca="false">J485/N485</f>
        <v>0.143229589885925</v>
      </c>
      <c r="S485" s="4" t="s">
        <v>35</v>
      </c>
    </row>
    <row r="486" customFormat="false" ht="14.25" hidden="false" customHeight="true" outlineLevel="0" collapsed="false">
      <c r="A486" s="3" t="s">
        <v>207</v>
      </c>
      <c r="B486" s="4" t="s">
        <v>635</v>
      </c>
      <c r="C486" s="4" t="s">
        <v>674</v>
      </c>
      <c r="D486" s="4" t="s">
        <v>22</v>
      </c>
      <c r="E486" s="3" t="s">
        <v>70</v>
      </c>
      <c r="F486" s="3" t="n">
        <v>652</v>
      </c>
      <c r="G486" s="4" t="s">
        <v>168</v>
      </c>
      <c r="H486" s="5" t="n">
        <v>60000</v>
      </c>
      <c r="I486" s="3" t="s">
        <v>55</v>
      </c>
      <c r="J486" s="6" t="n">
        <v>420</v>
      </c>
      <c r="K486" s="6" t="n">
        <v>384</v>
      </c>
      <c r="L486" s="7" t="n">
        <f aca="false">K486*1.35582</f>
        <v>520.63488</v>
      </c>
      <c r="M486" s="6" t="n">
        <v>3704</v>
      </c>
      <c r="N486" s="7" t="n">
        <f aca="false">M486*0.453592</f>
        <v>1680.104768</v>
      </c>
      <c r="O486" s="3" t="s">
        <v>26</v>
      </c>
      <c r="P486" s="3" t="s">
        <v>27</v>
      </c>
      <c r="Q486" s="8" t="n">
        <f aca="false">J486/M486</f>
        <v>0.113390928725702</v>
      </c>
      <c r="R486" s="8" t="n">
        <f aca="false">J486/N486</f>
        <v>0.249984410496001</v>
      </c>
      <c r="S486" s="4" t="s">
        <v>35</v>
      </c>
    </row>
    <row r="487" customFormat="false" ht="14.25" hidden="false" customHeight="true" outlineLevel="0" collapsed="false">
      <c r="A487" s="3" t="s">
        <v>159</v>
      </c>
      <c r="B487" s="4" t="s">
        <v>675</v>
      </c>
      <c r="C487" s="4" t="s">
        <v>676</v>
      </c>
      <c r="D487" s="4" t="s">
        <v>53</v>
      </c>
      <c r="E487" s="3" t="s">
        <v>54</v>
      </c>
      <c r="F487" s="3" t="n">
        <v>793</v>
      </c>
      <c r="G487" s="4" t="s">
        <v>110</v>
      </c>
      <c r="H487" s="5" t="n">
        <v>322000</v>
      </c>
      <c r="I487" s="3" t="s">
        <v>55</v>
      </c>
      <c r="J487" s="6" t="n">
        <v>650</v>
      </c>
      <c r="K487" s="6" t="n">
        <v>604</v>
      </c>
      <c r="L487" s="7" t="n">
        <f aca="false">K487*1.35582</f>
        <v>818.91528</v>
      </c>
      <c r="M487" s="6" t="n">
        <v>2756</v>
      </c>
      <c r="N487" s="7" t="n">
        <f aca="false">M487*0.453592</f>
        <v>1250.099552</v>
      </c>
      <c r="O487" s="3" t="s">
        <v>26</v>
      </c>
      <c r="P487" s="3" t="s">
        <v>67</v>
      </c>
      <c r="Q487" s="8" t="n">
        <f aca="false">J487/M487</f>
        <v>0.235849056603774</v>
      </c>
      <c r="R487" s="8" t="n">
        <f aca="false">J487/N487</f>
        <v>0.519958589665985</v>
      </c>
      <c r="S487" s="4" t="s">
        <v>35</v>
      </c>
    </row>
    <row r="488" customFormat="false" ht="14.25" hidden="false" customHeight="true" outlineLevel="0" collapsed="false">
      <c r="A488" s="3" t="s">
        <v>268</v>
      </c>
      <c r="B488" s="4" t="s">
        <v>677</v>
      </c>
      <c r="C488" s="4" t="s">
        <v>678</v>
      </c>
      <c r="D488" s="4" t="s">
        <v>136</v>
      </c>
      <c r="E488" s="3" t="s">
        <v>39</v>
      </c>
      <c r="F488" s="3" t="n">
        <v>576</v>
      </c>
      <c r="G488" s="4" t="s">
        <v>104</v>
      </c>
      <c r="H488" s="5" t="n">
        <v>152000</v>
      </c>
      <c r="I488" s="3" t="s">
        <v>25</v>
      </c>
      <c r="J488" s="6" t="n">
        <v>275</v>
      </c>
      <c r="K488" s="6" t="n">
        <v>221</v>
      </c>
      <c r="L488" s="7" t="n">
        <f aca="false">K488*1.35582</f>
        <v>299.63622</v>
      </c>
      <c r="M488" s="6" t="n">
        <v>2183</v>
      </c>
      <c r="N488" s="7" t="n">
        <f aca="false">M488*0.453592</f>
        <v>990.191336</v>
      </c>
      <c r="O488" s="3" t="s">
        <v>26</v>
      </c>
      <c r="P488" s="3" t="s">
        <v>27</v>
      </c>
      <c r="Q488" s="8" t="n">
        <f aca="false">J488/M488</f>
        <v>0.125973431058177</v>
      </c>
      <c r="R488" s="8" t="n">
        <f aca="false">J488/N488</f>
        <v>0.277724102405194</v>
      </c>
      <c r="S488" s="4" t="s">
        <v>99</v>
      </c>
    </row>
    <row r="489" customFormat="false" ht="14.25" hidden="false" customHeight="true" outlineLevel="0" collapsed="false">
      <c r="A489" s="3" t="s">
        <v>36</v>
      </c>
      <c r="B489" s="4" t="s">
        <v>679</v>
      </c>
      <c r="C489" s="4" t="s">
        <v>680</v>
      </c>
      <c r="D489" s="4" t="s">
        <v>126</v>
      </c>
      <c r="E489" s="3" t="s">
        <v>109</v>
      </c>
      <c r="F489" s="3" t="n">
        <v>851</v>
      </c>
      <c r="G489" s="4" t="s">
        <v>24</v>
      </c>
      <c r="H489" s="5" t="n">
        <v>3600000</v>
      </c>
      <c r="I489" s="3" t="s">
        <v>66</v>
      </c>
      <c r="J489" s="6" t="n">
        <v>740</v>
      </c>
      <c r="K489" s="6" t="n">
        <v>737</v>
      </c>
      <c r="L489" s="7" t="n">
        <f aca="false">K489*1.35582</f>
        <v>999.23934</v>
      </c>
      <c r="M489" s="6" t="n">
        <v>2685</v>
      </c>
      <c r="N489" s="7" t="n">
        <f aca="false">M489*0.453592</f>
        <v>1217.89452</v>
      </c>
      <c r="O489" s="3" t="s">
        <v>26</v>
      </c>
      <c r="P489" s="3" t="s">
        <v>67</v>
      </c>
      <c r="Q489" s="8" t="n">
        <f aca="false">J489/M489</f>
        <v>0.2756052141527</v>
      </c>
      <c r="R489" s="8" t="n">
        <f aca="false">J489/N489</f>
        <v>0.607605985451022</v>
      </c>
      <c r="S489" s="4" t="s">
        <v>35</v>
      </c>
    </row>
    <row r="490" customFormat="false" ht="14.25" hidden="false" customHeight="true" outlineLevel="0" collapsed="false">
      <c r="A490" s="3" t="s">
        <v>76</v>
      </c>
      <c r="B490" s="4" t="s">
        <v>679</v>
      </c>
      <c r="C490" s="4" t="s">
        <v>681</v>
      </c>
      <c r="D490" s="4" t="s">
        <v>103</v>
      </c>
      <c r="E490" s="3" t="s">
        <v>88</v>
      </c>
      <c r="F490" s="3" t="n">
        <v>954</v>
      </c>
      <c r="G490" s="4" t="s">
        <v>24</v>
      </c>
      <c r="H490" s="5" t="n">
        <v>2750000</v>
      </c>
      <c r="I490" s="3" t="s">
        <v>66</v>
      </c>
      <c r="J490" s="6" t="n">
        <v>838</v>
      </c>
      <c r="K490" s="6" t="n">
        <v>553</v>
      </c>
      <c r="L490" s="7" t="n">
        <f aca="false">K490*1.35582</f>
        <v>749.76846</v>
      </c>
      <c r="M490" s="6" t="n">
        <v>2447</v>
      </c>
      <c r="N490" s="7" t="n">
        <f aca="false">M490*0.453592</f>
        <v>1109.939624</v>
      </c>
      <c r="O490" s="3"/>
      <c r="P490" s="3"/>
      <c r="Q490" s="8" t="n">
        <f aca="false">J490/M490</f>
        <v>0.342460155292195</v>
      </c>
      <c r="R490" s="8" t="n">
        <f aca="false">J490/N490</f>
        <v>0.754996021297101</v>
      </c>
      <c r="S490" s="4" t="s">
        <v>28</v>
      </c>
    </row>
    <row r="491" customFormat="false" ht="14.25" hidden="false" customHeight="true" outlineLevel="0" collapsed="false">
      <c r="A491" s="3" t="s">
        <v>159</v>
      </c>
      <c r="B491" s="4" t="s">
        <v>679</v>
      </c>
      <c r="C491" s="4" t="s">
        <v>682</v>
      </c>
      <c r="D491" s="4" t="s">
        <v>126</v>
      </c>
      <c r="E491" s="3" t="s">
        <v>109</v>
      </c>
      <c r="F491" s="3" t="n">
        <v>812</v>
      </c>
      <c r="G491" s="4" t="s">
        <v>24</v>
      </c>
      <c r="H491" s="5" t="n">
        <v>4000000</v>
      </c>
      <c r="I491" s="3" t="s">
        <v>66</v>
      </c>
      <c r="J491" s="6" t="n">
        <v>678</v>
      </c>
      <c r="K491" s="6" t="n">
        <v>575</v>
      </c>
      <c r="L491" s="7" t="n">
        <f aca="false">K491*1.35582</f>
        <v>779.5965</v>
      </c>
      <c r="M491" s="6" t="n">
        <v>2858</v>
      </c>
      <c r="N491" s="7" t="n">
        <f aca="false">M491*0.453592</f>
        <v>1296.365936</v>
      </c>
      <c r="O491" s="3" t="s">
        <v>26</v>
      </c>
      <c r="P491" s="3" t="s">
        <v>67</v>
      </c>
      <c r="Q491" s="8" t="n">
        <f aca="false">J491/M491</f>
        <v>0.237228831350595</v>
      </c>
      <c r="R491" s="8" t="n">
        <f aca="false">J491/N491</f>
        <v>0.52300047476718</v>
      </c>
      <c r="S491" s="4" t="s">
        <v>63</v>
      </c>
    </row>
    <row r="492" customFormat="false" ht="14.25" hidden="false" customHeight="true" outlineLevel="0" collapsed="false">
      <c r="A492" s="3" t="s">
        <v>139</v>
      </c>
      <c r="B492" s="4" t="s">
        <v>679</v>
      </c>
      <c r="C492" s="4" t="s">
        <v>683</v>
      </c>
      <c r="D492" s="4" t="s">
        <v>103</v>
      </c>
      <c r="E492" s="3" t="s">
        <v>88</v>
      </c>
      <c r="F492" s="3" t="n">
        <v>918</v>
      </c>
      <c r="G492" s="4" t="s">
        <v>24</v>
      </c>
      <c r="H492" s="5" t="n">
        <v>4750000</v>
      </c>
      <c r="I492" s="3" t="s">
        <v>66</v>
      </c>
      <c r="J492" s="6" t="n">
        <v>739</v>
      </c>
      <c r="K492" s="6" t="n">
        <v>523</v>
      </c>
      <c r="L492" s="7" t="n">
        <f aca="false">K492*1.35582</f>
        <v>709.09386</v>
      </c>
      <c r="M492" s="6" t="n">
        <v>2536</v>
      </c>
      <c r="N492" s="7" t="n">
        <f aca="false">M492*0.453592</f>
        <v>1150.309312</v>
      </c>
      <c r="O492" s="3" t="s">
        <v>26</v>
      </c>
      <c r="P492" s="3" t="s">
        <v>67</v>
      </c>
      <c r="Q492" s="8" t="n">
        <f aca="false">J492/M492</f>
        <v>0.291403785488959</v>
      </c>
      <c r="R492" s="8" t="n">
        <f aca="false">J492/N492</f>
        <v>0.642435901622954</v>
      </c>
      <c r="S492" s="4" t="s">
        <v>35</v>
      </c>
    </row>
    <row r="493" customFormat="false" ht="14.25" hidden="false" customHeight="true" outlineLevel="0" collapsed="false">
      <c r="A493" s="3" t="s">
        <v>304</v>
      </c>
      <c r="B493" s="4" t="s">
        <v>684</v>
      </c>
      <c r="C493" s="4" t="s">
        <v>685</v>
      </c>
      <c r="D493" s="4" t="s">
        <v>31</v>
      </c>
      <c r="E493" s="3" t="s">
        <v>32</v>
      </c>
      <c r="F493" s="3" t="n">
        <v>100</v>
      </c>
      <c r="G493" s="4" t="s">
        <v>110</v>
      </c>
      <c r="H493" s="5" t="n">
        <v>21000</v>
      </c>
      <c r="I493" s="3" t="s">
        <v>66</v>
      </c>
      <c r="J493" s="6" t="n">
        <v>4</v>
      </c>
      <c r="K493" s="6" t="n">
        <v>6</v>
      </c>
      <c r="L493" s="7" t="n">
        <f aca="false">K493*1.35582</f>
        <v>8.13492</v>
      </c>
      <c r="M493" s="6" t="n">
        <v>310</v>
      </c>
      <c r="N493" s="7" t="n">
        <f aca="false">M493*0.453592</f>
        <v>140.61352</v>
      </c>
      <c r="O493" s="3" t="s">
        <v>26</v>
      </c>
      <c r="P493" s="3" t="s">
        <v>67</v>
      </c>
      <c r="Q493" s="8" t="n">
        <f aca="false">J493/M493</f>
        <v>0.0129032258064516</v>
      </c>
      <c r="R493" s="8" t="n">
        <f aca="false">J493/N493</f>
        <v>0.0284467667120487</v>
      </c>
      <c r="S493" s="4" t="s">
        <v>35</v>
      </c>
    </row>
    <row r="494" customFormat="false" ht="14.25" hidden="false" customHeight="true" outlineLevel="0" collapsed="false">
      <c r="A494" s="3" t="s">
        <v>304</v>
      </c>
      <c r="B494" s="4" t="s">
        <v>684</v>
      </c>
      <c r="C494" s="4" t="s">
        <v>686</v>
      </c>
      <c r="D494" s="4" t="s">
        <v>31</v>
      </c>
      <c r="E494" s="3" t="s">
        <v>32</v>
      </c>
      <c r="F494" s="3" t="n">
        <v>100</v>
      </c>
      <c r="G494" s="4" t="s">
        <v>110</v>
      </c>
      <c r="H494" s="5" t="n">
        <v>21000</v>
      </c>
      <c r="I494" s="3" t="s">
        <v>66</v>
      </c>
      <c r="J494" s="6" t="n">
        <v>4</v>
      </c>
      <c r="K494" s="6" t="n">
        <v>6</v>
      </c>
      <c r="L494" s="7" t="n">
        <f aca="false">K494*1.35582</f>
        <v>8.13492</v>
      </c>
      <c r="M494" s="6" t="n">
        <v>310</v>
      </c>
      <c r="N494" s="7" t="n">
        <f aca="false">M494*0.453592</f>
        <v>140.61352</v>
      </c>
      <c r="O494" s="3" t="s">
        <v>26</v>
      </c>
      <c r="P494" s="3" t="s">
        <v>67</v>
      </c>
      <c r="Q494" s="8" t="n">
        <f aca="false">J494/M494</f>
        <v>0.0129032258064516</v>
      </c>
      <c r="R494" s="8" t="n">
        <f aca="false">J494/N494</f>
        <v>0.0284467667120487</v>
      </c>
      <c r="S494" s="4" t="s">
        <v>75</v>
      </c>
    </row>
    <row r="495" customFormat="false" ht="14.25" hidden="false" customHeight="true" outlineLevel="0" collapsed="false">
      <c r="A495" s="3" t="s">
        <v>145</v>
      </c>
      <c r="B495" s="4" t="s">
        <v>687</v>
      </c>
      <c r="C495" s="4" t="s">
        <v>688</v>
      </c>
      <c r="D495" s="4" t="s">
        <v>91</v>
      </c>
      <c r="E495" s="3" t="s">
        <v>39</v>
      </c>
      <c r="F495" s="3" t="n">
        <v>541</v>
      </c>
      <c r="G495" s="4" t="s">
        <v>46</v>
      </c>
      <c r="H495" s="5" t="n">
        <v>85000</v>
      </c>
      <c r="I495" s="3" t="s">
        <v>25</v>
      </c>
      <c r="J495" s="6" t="n">
        <v>195</v>
      </c>
      <c r="K495" s="6" t="n">
        <v>190</v>
      </c>
      <c r="L495" s="7" t="n">
        <f aca="false">K495*1.35582</f>
        <v>257.6058</v>
      </c>
      <c r="M495" s="6" t="n">
        <v>2200</v>
      </c>
      <c r="N495" s="7" t="n">
        <f aca="false">M495*0.453592</f>
        <v>997.9024</v>
      </c>
      <c r="O495" s="3" t="s">
        <v>26</v>
      </c>
      <c r="P495" s="3" t="s">
        <v>34</v>
      </c>
      <c r="Q495" s="8" t="n">
        <f aca="false">J495/M495</f>
        <v>0.0886363636363636</v>
      </c>
      <c r="R495" s="8" t="n">
        <f aca="false">J495/N495</f>
        <v>0.195409891789017</v>
      </c>
      <c r="S495" s="4" t="s">
        <v>35</v>
      </c>
    </row>
    <row r="496" customFormat="false" ht="14.25" hidden="false" customHeight="true" outlineLevel="0" collapsed="false">
      <c r="A496" s="3" t="s">
        <v>413</v>
      </c>
      <c r="B496" s="4" t="s">
        <v>689</v>
      </c>
      <c r="C496" s="4" t="s">
        <v>690</v>
      </c>
      <c r="D496" s="4" t="s">
        <v>50</v>
      </c>
      <c r="E496" s="3" t="s">
        <v>32</v>
      </c>
      <c r="F496" s="3" t="n">
        <v>350</v>
      </c>
      <c r="G496" s="4" t="s">
        <v>691</v>
      </c>
      <c r="H496" s="5" t="n">
        <v>22000</v>
      </c>
      <c r="I496" s="3" t="s">
        <v>25</v>
      </c>
      <c r="J496" s="6" t="n">
        <v>99</v>
      </c>
      <c r="K496" s="6" t="n">
        <v>87</v>
      </c>
      <c r="L496" s="7" t="n">
        <f aca="false">K496*1.35582</f>
        <v>117.95634</v>
      </c>
      <c r="M496" s="6" t="n">
        <v>1742</v>
      </c>
      <c r="N496" s="7" t="n">
        <f aca="false">M496*0.453592</f>
        <v>790.157264</v>
      </c>
      <c r="O496" s="3" t="s">
        <v>47</v>
      </c>
      <c r="P496" s="3" t="s">
        <v>27</v>
      </c>
      <c r="Q496" s="8" t="n">
        <f aca="false">J496/M496</f>
        <v>0.0568312284730195</v>
      </c>
      <c r="R496" s="8" t="n">
        <f aca="false">J496/N496</f>
        <v>0.125291514120662</v>
      </c>
      <c r="S496" s="4" t="s">
        <v>35</v>
      </c>
    </row>
    <row r="497" customFormat="false" ht="14.25" hidden="false" customHeight="true" outlineLevel="0" collapsed="false">
      <c r="A497" s="3" t="s">
        <v>268</v>
      </c>
      <c r="B497" s="4" t="s">
        <v>689</v>
      </c>
      <c r="C497" s="4" t="s">
        <v>692</v>
      </c>
      <c r="D497" s="4" t="s">
        <v>158</v>
      </c>
      <c r="E497" s="3" t="s">
        <v>23</v>
      </c>
      <c r="F497" s="3" t="n">
        <v>500</v>
      </c>
      <c r="G497" s="4" t="s">
        <v>691</v>
      </c>
      <c r="H497" s="5" t="n">
        <v>275000</v>
      </c>
      <c r="I497" s="3" t="s">
        <v>447</v>
      </c>
      <c r="J497" s="6" t="n">
        <v>200</v>
      </c>
      <c r="K497" s="6" t="n">
        <v>188</v>
      </c>
      <c r="L497" s="7" t="n">
        <f aca="false">K497*1.35582</f>
        <v>254.89416</v>
      </c>
      <c r="M497" s="6" t="n">
        <v>2524</v>
      </c>
      <c r="N497" s="7" t="n">
        <f aca="false">M497*0.453592</f>
        <v>1144.866208</v>
      </c>
      <c r="O497" s="3"/>
      <c r="P497" s="3"/>
      <c r="Q497" s="8" t="n">
        <f aca="false">J497/M497</f>
        <v>0.0792393026941363</v>
      </c>
      <c r="R497" s="8" t="n">
        <f aca="false">J497/N497</f>
        <v>0.174692901757827</v>
      </c>
      <c r="S497" s="4" t="s">
        <v>188</v>
      </c>
    </row>
    <row r="498" customFormat="false" ht="14.25" hidden="false" customHeight="true" outlineLevel="0" collapsed="false">
      <c r="A498" s="3" t="s">
        <v>71</v>
      </c>
      <c r="B498" s="4" t="s">
        <v>689</v>
      </c>
      <c r="C498" s="4" t="s">
        <v>693</v>
      </c>
      <c r="D498" s="4" t="s">
        <v>136</v>
      </c>
      <c r="E498" s="3" t="s">
        <v>70</v>
      </c>
      <c r="F498" s="3" t="n">
        <v>632</v>
      </c>
      <c r="G498" s="4" t="s">
        <v>691</v>
      </c>
      <c r="H498" s="5"/>
      <c r="I498" s="3"/>
      <c r="J498" s="6" t="n">
        <v>280</v>
      </c>
      <c r="K498" s="6" t="n">
        <v>184</v>
      </c>
      <c r="L498" s="7" t="n">
        <f aca="false">K498*1.35582</f>
        <v>249.47088</v>
      </c>
      <c r="M498" s="6" t="n">
        <v>2425</v>
      </c>
      <c r="N498" s="7" t="n">
        <f aca="false">M498*0.453592</f>
        <v>1099.9606</v>
      </c>
      <c r="O498" s="3"/>
      <c r="P498" s="3"/>
      <c r="Q498" s="8" t="n">
        <f aca="false">J498/M498</f>
        <v>0.115463917525773</v>
      </c>
      <c r="R498" s="8" t="n">
        <f aca="false">J498/N498</f>
        <v>0.254554572227405</v>
      </c>
      <c r="S498" s="4" t="s">
        <v>28</v>
      </c>
    </row>
    <row r="499" customFormat="false" ht="14.25" hidden="false" customHeight="true" outlineLevel="0" collapsed="false">
      <c r="A499" s="3" t="s">
        <v>29</v>
      </c>
      <c r="B499" s="4" t="s">
        <v>694</v>
      </c>
      <c r="C499" s="4" t="s">
        <v>695</v>
      </c>
      <c r="D499" s="4" t="s">
        <v>235</v>
      </c>
      <c r="E499" s="3" t="s">
        <v>23</v>
      </c>
      <c r="F499" s="3" t="n">
        <v>445</v>
      </c>
      <c r="G499" s="4" t="s">
        <v>46</v>
      </c>
      <c r="H499" s="5" t="n">
        <v>45000</v>
      </c>
      <c r="I499" s="3" t="s">
        <v>25</v>
      </c>
      <c r="J499" s="6" t="n">
        <v>300</v>
      </c>
      <c r="K499" s="6" t="n">
        <v>400</v>
      </c>
      <c r="L499" s="7" t="n">
        <f aca="false">K499*1.35582</f>
        <v>542.328</v>
      </c>
      <c r="M499" s="6" t="n">
        <v>3470</v>
      </c>
      <c r="N499" s="7" t="n">
        <f aca="false">M499*0.453592</f>
        <v>1573.96424</v>
      </c>
      <c r="O499" s="3" t="s">
        <v>26</v>
      </c>
      <c r="P499" s="3" t="s">
        <v>27</v>
      </c>
      <c r="Q499" s="8" t="n">
        <f aca="false">J499/M499</f>
        <v>0.0864553314121038</v>
      </c>
      <c r="R499" s="8" t="n">
        <f aca="false">J499/N499</f>
        <v>0.190601534886206</v>
      </c>
      <c r="S499" s="4" t="s">
        <v>35</v>
      </c>
    </row>
    <row r="500" customFormat="false" ht="14.25" hidden="false" customHeight="true" outlineLevel="0" collapsed="false">
      <c r="A500" s="3" t="s">
        <v>607</v>
      </c>
      <c r="B500" s="4" t="s">
        <v>694</v>
      </c>
      <c r="C500" s="4" t="s">
        <v>696</v>
      </c>
      <c r="D500" s="4" t="s">
        <v>235</v>
      </c>
      <c r="E500" s="3" t="s">
        <v>23</v>
      </c>
      <c r="F500" s="3" t="n">
        <v>441</v>
      </c>
      <c r="G500" s="4" t="s">
        <v>46</v>
      </c>
      <c r="H500" s="5" t="n">
        <v>125000</v>
      </c>
      <c r="I500" s="3" t="s">
        <v>55</v>
      </c>
      <c r="J500" s="6" t="n">
        <v>425</v>
      </c>
      <c r="K500" s="6" t="n">
        <v>490</v>
      </c>
      <c r="L500" s="7" t="n">
        <f aca="false">K500*1.35582</f>
        <v>664.3518</v>
      </c>
      <c r="M500" s="6" t="n">
        <v>3880</v>
      </c>
      <c r="N500" s="7" t="n">
        <f aca="false">M500*0.453592</f>
        <v>1759.93696</v>
      </c>
      <c r="O500" s="3" t="s">
        <v>26</v>
      </c>
      <c r="P500" s="3" t="s">
        <v>27</v>
      </c>
      <c r="Q500" s="8" t="n">
        <f aca="false">J500/M500</f>
        <v>0.109536082474227</v>
      </c>
      <c r="R500" s="8" t="n">
        <f aca="false">J500/N500</f>
        <v>0.241485922313945</v>
      </c>
      <c r="S500" s="4" t="s">
        <v>35</v>
      </c>
    </row>
    <row r="501" customFormat="false" ht="14.25" hidden="false" customHeight="true" outlineLevel="0" collapsed="false">
      <c r="A501" s="3" t="s">
        <v>697</v>
      </c>
      <c r="B501" s="4" t="s">
        <v>694</v>
      </c>
      <c r="C501" s="4" t="s">
        <v>698</v>
      </c>
      <c r="D501" s="4" t="s">
        <v>231</v>
      </c>
      <c r="E501" s="3" t="s">
        <v>32</v>
      </c>
      <c r="F501" s="3" t="n">
        <v>361</v>
      </c>
      <c r="G501" s="4" t="s">
        <v>46</v>
      </c>
      <c r="H501" s="5" t="n">
        <v>53000</v>
      </c>
      <c r="I501" s="3" t="s">
        <v>25</v>
      </c>
      <c r="J501" s="6" t="n">
        <v>305</v>
      </c>
      <c r="K501" s="6" t="n">
        <v>370</v>
      </c>
      <c r="L501" s="7" t="n">
        <f aca="false">K501*1.35582</f>
        <v>501.6534</v>
      </c>
      <c r="M501" s="6" t="n">
        <v>3595</v>
      </c>
      <c r="N501" s="7" t="n">
        <f aca="false">M501*0.453592</f>
        <v>1630.66324</v>
      </c>
      <c r="O501" s="3" t="s">
        <v>26</v>
      </c>
      <c r="P501" s="3" t="s">
        <v>27</v>
      </c>
      <c r="Q501" s="8" t="n">
        <f aca="false">J501/M501</f>
        <v>0.0848400556328234</v>
      </c>
      <c r="R501" s="8" t="n">
        <f aca="false">J501/N501</f>
        <v>0.187040458457873</v>
      </c>
      <c r="S501" s="4" t="s">
        <v>35</v>
      </c>
    </row>
    <row r="502" customFormat="false" ht="14.25" hidden="false" customHeight="true" outlineLevel="0" collapsed="false">
      <c r="A502" s="3" t="s">
        <v>76</v>
      </c>
      <c r="B502" s="4" t="s">
        <v>699</v>
      </c>
      <c r="C502" s="4" t="s">
        <v>700</v>
      </c>
      <c r="D502" s="4" t="s">
        <v>224</v>
      </c>
      <c r="E502" s="3" t="s">
        <v>23</v>
      </c>
      <c r="F502" s="3" t="n">
        <v>439</v>
      </c>
      <c r="G502" s="4" t="s">
        <v>46</v>
      </c>
      <c r="H502" s="5" t="n">
        <v>50000</v>
      </c>
      <c r="I502" s="3" t="s">
        <v>25</v>
      </c>
      <c r="J502" s="6" t="n">
        <v>181</v>
      </c>
      <c r="K502" s="6" t="n">
        <v>120</v>
      </c>
      <c r="L502" s="7" t="n">
        <f aca="false">K502*1.35582</f>
        <v>162.6984</v>
      </c>
      <c r="M502" s="6" t="n">
        <v>2060</v>
      </c>
      <c r="N502" s="7" t="n">
        <f aca="false">M502*0.453592</f>
        <v>934.39952</v>
      </c>
      <c r="O502" s="3" t="s">
        <v>62</v>
      </c>
      <c r="P502" s="3" t="s">
        <v>67</v>
      </c>
      <c r="Q502" s="8" t="n">
        <f aca="false">J502/M502</f>
        <v>0.0878640776699029</v>
      </c>
      <c r="R502" s="8" t="n">
        <f aca="false">J502/N502</f>
        <v>0.193707291287992</v>
      </c>
      <c r="S502" s="4" t="s">
        <v>35</v>
      </c>
    </row>
    <row r="503" customFormat="false" ht="14.25" hidden="false" customHeight="true" outlineLevel="0" collapsed="false">
      <c r="A503" s="3" t="s">
        <v>76</v>
      </c>
      <c r="B503" s="4" t="s">
        <v>699</v>
      </c>
      <c r="C503" s="4" t="s">
        <v>701</v>
      </c>
      <c r="D503" s="4" t="s">
        <v>224</v>
      </c>
      <c r="E503" s="3" t="s">
        <v>23</v>
      </c>
      <c r="F503" s="3" t="n">
        <v>496</v>
      </c>
      <c r="G503" s="4" t="s">
        <v>46</v>
      </c>
      <c r="H503" s="5" t="n">
        <v>34000</v>
      </c>
      <c r="I503" s="3" t="s">
        <v>25</v>
      </c>
      <c r="J503" s="6" t="n">
        <v>181</v>
      </c>
      <c r="K503" s="6" t="n">
        <v>120</v>
      </c>
      <c r="L503" s="7" t="n">
        <f aca="false">K503*1.35582</f>
        <v>162.6984</v>
      </c>
      <c r="M503" s="6" t="n">
        <v>1870</v>
      </c>
      <c r="N503" s="7" t="n">
        <f aca="false">M503*0.453592</f>
        <v>848.21704</v>
      </c>
      <c r="O503" s="3" t="s">
        <v>62</v>
      </c>
      <c r="P503" s="3" t="s">
        <v>67</v>
      </c>
      <c r="Q503" s="8" t="n">
        <f aca="false">J503/M503</f>
        <v>0.0967914438502674</v>
      </c>
      <c r="R503" s="8" t="n">
        <f aca="false">J503/N503</f>
        <v>0.213388780777146</v>
      </c>
      <c r="S503" s="4" t="s">
        <v>99</v>
      </c>
    </row>
    <row r="504" customFormat="false" ht="14.25" hidden="false" customHeight="true" outlineLevel="0" collapsed="false">
      <c r="A504" s="3" t="s">
        <v>352</v>
      </c>
      <c r="B504" s="4" t="s">
        <v>702</v>
      </c>
      <c r="C504" s="4" t="s">
        <v>703</v>
      </c>
      <c r="D504" s="4" t="s">
        <v>235</v>
      </c>
      <c r="E504" s="3" t="s">
        <v>32</v>
      </c>
      <c r="F504" s="3" t="n">
        <v>312</v>
      </c>
      <c r="G504" s="4" t="s">
        <v>46</v>
      </c>
      <c r="H504" s="5" t="n">
        <v>60000</v>
      </c>
      <c r="I504" s="3" t="s">
        <v>25</v>
      </c>
      <c r="J504" s="6" t="n">
        <v>201</v>
      </c>
      <c r="K504" s="6" t="n">
        <v>325</v>
      </c>
      <c r="L504" s="7" t="n">
        <f aca="false">K504*1.35582</f>
        <v>440.6415</v>
      </c>
      <c r="M504" s="6" t="n">
        <v>3800</v>
      </c>
      <c r="N504" s="7" t="n">
        <f aca="false">M504*0.453592</f>
        <v>1723.6496</v>
      </c>
      <c r="O504" s="3" t="s">
        <v>26</v>
      </c>
      <c r="P504" s="3" t="s">
        <v>27</v>
      </c>
      <c r="Q504" s="8" t="n">
        <f aca="false">J504/M504</f>
        <v>0.0528947368421053</v>
      </c>
      <c r="R504" s="8" t="n">
        <f aca="false">J504/N504</f>
        <v>0.1166130285413</v>
      </c>
      <c r="S504" s="4" t="s">
        <v>35</v>
      </c>
    </row>
    <row r="505" customFormat="false" ht="14.25" hidden="false" customHeight="true" outlineLevel="0" collapsed="false">
      <c r="A505" s="3" t="s">
        <v>211</v>
      </c>
      <c r="B505" s="4" t="s">
        <v>702</v>
      </c>
      <c r="C505" s="4" t="s">
        <v>704</v>
      </c>
      <c r="D505" s="4" t="s">
        <v>214</v>
      </c>
      <c r="E505" s="3" t="s">
        <v>32</v>
      </c>
      <c r="F505" s="3" t="n">
        <v>382</v>
      </c>
      <c r="G505" s="4" t="s">
        <v>46</v>
      </c>
      <c r="H505" s="5" t="n">
        <v>25000</v>
      </c>
      <c r="I505" s="3" t="s">
        <v>33</v>
      </c>
      <c r="J505" s="6" t="n">
        <v>210</v>
      </c>
      <c r="K505" s="6" t="n">
        <v>315</v>
      </c>
      <c r="L505" s="7" t="n">
        <f aca="false">K505*1.35582</f>
        <v>427.0833</v>
      </c>
      <c r="M505" s="6" t="n">
        <v>3483</v>
      </c>
      <c r="N505" s="7" t="n">
        <f aca="false">M505*0.453592</f>
        <v>1579.860936</v>
      </c>
      <c r="O505" s="3" t="s">
        <v>26</v>
      </c>
      <c r="P505" s="3" t="s">
        <v>27</v>
      </c>
      <c r="Q505" s="8" t="n">
        <f aca="false">J505/M505</f>
        <v>0.0602928509905254</v>
      </c>
      <c r="R505" s="8" t="n">
        <f aca="false">J505/N505</f>
        <v>0.132923091656214</v>
      </c>
      <c r="S505" s="4" t="s">
        <v>35</v>
      </c>
    </row>
    <row r="506" customFormat="false" ht="14.25" hidden="false" customHeight="true" outlineLevel="0" collapsed="false">
      <c r="A506" s="3" t="s">
        <v>133</v>
      </c>
      <c r="B506" s="4" t="s">
        <v>705</v>
      </c>
      <c r="C506" s="4" t="s">
        <v>706</v>
      </c>
      <c r="D506" s="4" t="s">
        <v>136</v>
      </c>
      <c r="E506" s="3" t="s">
        <v>70</v>
      </c>
      <c r="F506" s="3" t="n">
        <v>623</v>
      </c>
      <c r="G506" s="4" t="s">
        <v>104</v>
      </c>
      <c r="H506" s="5" t="n">
        <v>1875000</v>
      </c>
      <c r="I506" s="3" t="s">
        <v>187</v>
      </c>
      <c r="J506" s="6" t="n">
        <v>394</v>
      </c>
      <c r="K506" s="6" t="n">
        <v>320</v>
      </c>
      <c r="L506" s="7" t="n">
        <f aca="false">K506*1.35582</f>
        <v>433.8624</v>
      </c>
      <c r="M506" s="6" t="n">
        <v>3322</v>
      </c>
      <c r="N506" s="7" t="n">
        <f aca="false">M506*0.453592</f>
        <v>1506.832624</v>
      </c>
      <c r="O506" s="3" t="s">
        <v>62</v>
      </c>
      <c r="P506" s="3" t="s">
        <v>34</v>
      </c>
      <c r="Q506" s="8" t="n">
        <f aca="false">J506/M506</f>
        <v>0.118603251053582</v>
      </c>
      <c r="R506" s="8" t="n">
        <f aca="false">J506/N506</f>
        <v>0.261475623585915</v>
      </c>
      <c r="S506" s="4" t="s">
        <v>35</v>
      </c>
    </row>
    <row r="507" customFormat="false" ht="14.25" hidden="false" customHeight="true" outlineLevel="0" collapsed="false">
      <c r="A507" s="3" t="s">
        <v>211</v>
      </c>
      <c r="B507" s="4" t="s">
        <v>705</v>
      </c>
      <c r="C507" s="4" t="s">
        <v>707</v>
      </c>
      <c r="D507" s="4" t="s">
        <v>87</v>
      </c>
      <c r="E507" s="3" t="s">
        <v>109</v>
      </c>
      <c r="F507" s="3" t="n">
        <v>840</v>
      </c>
      <c r="G507" s="4" t="s">
        <v>104</v>
      </c>
      <c r="H507" s="5" t="n">
        <v>1500000</v>
      </c>
      <c r="I507" s="3" t="s">
        <v>66</v>
      </c>
      <c r="J507" s="6" t="n">
        <v>632</v>
      </c>
      <c r="K507" s="6" t="n">
        <v>464</v>
      </c>
      <c r="L507" s="7" t="n">
        <f aca="false">K507*1.35582</f>
        <v>629.10048</v>
      </c>
      <c r="M507" s="6" t="n">
        <v>2535</v>
      </c>
      <c r="N507" s="7" t="n">
        <f aca="false">M507*0.453592</f>
        <v>1149.85572</v>
      </c>
      <c r="O507" s="3" t="s">
        <v>62</v>
      </c>
      <c r="P507" s="3" t="s">
        <v>34</v>
      </c>
      <c r="Q507" s="8" t="n">
        <f aca="false">J507/M507</f>
        <v>0.24930966469428</v>
      </c>
      <c r="R507" s="8" t="n">
        <f aca="false">J507/N507</f>
        <v>0.549634174972839</v>
      </c>
      <c r="S507" s="4" t="s">
        <v>75</v>
      </c>
    </row>
    <row r="508" customFormat="false" ht="14.25" hidden="false" customHeight="true" outlineLevel="0" collapsed="false">
      <c r="A508" s="3" t="s">
        <v>237</v>
      </c>
      <c r="B508" s="4" t="s">
        <v>705</v>
      </c>
      <c r="C508" s="4" t="s">
        <v>708</v>
      </c>
      <c r="D508" s="4" t="s">
        <v>65</v>
      </c>
      <c r="E508" s="3" t="s">
        <v>54</v>
      </c>
      <c r="F508" s="3" t="n">
        <v>777</v>
      </c>
      <c r="G508" s="4" t="s">
        <v>104</v>
      </c>
      <c r="H508" s="5" t="n">
        <v>494000</v>
      </c>
      <c r="I508" s="3" t="s">
        <v>66</v>
      </c>
      <c r="J508" s="6" t="n">
        <v>601</v>
      </c>
      <c r="K508" s="6" t="n">
        <v>415</v>
      </c>
      <c r="L508" s="7" t="n">
        <f aca="false">K508*1.35582</f>
        <v>562.6653</v>
      </c>
      <c r="M508" s="6" t="n">
        <v>2044</v>
      </c>
      <c r="N508" s="7" t="n">
        <f aca="false">M508*0.453592</f>
        <v>927.142048</v>
      </c>
      <c r="O508" s="3" t="s">
        <v>26</v>
      </c>
      <c r="P508" s="3" t="s">
        <v>67</v>
      </c>
      <c r="Q508" s="8" t="n">
        <f aca="false">J508/M508</f>
        <v>0.294031311154599</v>
      </c>
      <c r="R508" s="8" t="n">
        <f aca="false">J508/N508</f>
        <v>0.648228608870083</v>
      </c>
      <c r="S508" s="4" t="s">
        <v>99</v>
      </c>
    </row>
    <row r="509" customFormat="false" ht="14.25" hidden="false" customHeight="true" outlineLevel="0" collapsed="false">
      <c r="A509" s="3" t="s">
        <v>237</v>
      </c>
      <c r="B509" s="4" t="s">
        <v>705</v>
      </c>
      <c r="C509" s="4" t="s">
        <v>709</v>
      </c>
      <c r="D509" s="4" t="s">
        <v>103</v>
      </c>
      <c r="E509" s="3" t="s">
        <v>88</v>
      </c>
      <c r="F509" s="3" t="n">
        <v>998</v>
      </c>
      <c r="G509" s="4" t="s">
        <v>104</v>
      </c>
      <c r="H509" s="5" t="n">
        <v>1000000</v>
      </c>
      <c r="I509" s="3" t="s">
        <v>66</v>
      </c>
      <c r="J509" s="6" t="n">
        <v>601</v>
      </c>
      <c r="K509" s="6" t="n">
        <v>415</v>
      </c>
      <c r="L509" s="7" t="n">
        <f aca="false">K509*1.35582</f>
        <v>562.6653</v>
      </c>
      <c r="M509" s="6" t="n">
        <v>2044</v>
      </c>
      <c r="N509" s="7" t="n">
        <f aca="false">M509*0.453592</f>
        <v>927.142048</v>
      </c>
      <c r="O509" s="3"/>
      <c r="P509" s="3"/>
      <c r="Q509" s="8" t="n">
        <f aca="false">J509/M509</f>
        <v>0.294031311154599</v>
      </c>
      <c r="R509" s="8" t="n">
        <f aca="false">J509/N509</f>
        <v>0.648228608870083</v>
      </c>
      <c r="S509" s="4" t="s">
        <v>105</v>
      </c>
    </row>
    <row r="510" customFormat="false" ht="14.25" hidden="false" customHeight="true" outlineLevel="0" collapsed="false">
      <c r="A510" s="3" t="s">
        <v>121</v>
      </c>
      <c r="B510" s="4" t="s">
        <v>705</v>
      </c>
      <c r="C510" s="4" t="s">
        <v>710</v>
      </c>
      <c r="D510" s="4" t="s">
        <v>103</v>
      </c>
      <c r="E510" s="3" t="s">
        <v>109</v>
      </c>
      <c r="F510" s="3" t="n">
        <v>853</v>
      </c>
      <c r="G510" s="4" t="s">
        <v>104</v>
      </c>
      <c r="H510" s="5"/>
      <c r="I510" s="3"/>
      <c r="J510" s="6" t="n">
        <v>691</v>
      </c>
      <c r="K510" s="6" t="n">
        <v>550</v>
      </c>
      <c r="L510" s="7" t="n">
        <f aca="false">K510*1.35582</f>
        <v>745.701</v>
      </c>
      <c r="M510" s="6" t="n">
        <v>3042</v>
      </c>
      <c r="N510" s="7" t="n">
        <f aca="false">M510*0.453592</f>
        <v>1379.826864</v>
      </c>
      <c r="O510" s="3" t="s">
        <v>26</v>
      </c>
      <c r="P510" s="3" t="s">
        <v>34</v>
      </c>
      <c r="Q510" s="8" t="n">
        <f aca="false">J510/M510</f>
        <v>0.22715318869165</v>
      </c>
      <c r="R510" s="8" t="n">
        <f aca="false">J510/N510</f>
        <v>0.500787466912226</v>
      </c>
      <c r="S510" s="4" t="s">
        <v>35</v>
      </c>
    </row>
    <row r="511" customFormat="false" ht="14.25" hidden="false" customHeight="true" outlineLevel="0" collapsed="false">
      <c r="A511" s="3" t="s">
        <v>51</v>
      </c>
      <c r="B511" s="4" t="s">
        <v>705</v>
      </c>
      <c r="C511" s="4" t="s">
        <v>711</v>
      </c>
      <c r="D511" s="4" t="s">
        <v>171</v>
      </c>
      <c r="E511" s="3" t="s">
        <v>54</v>
      </c>
      <c r="F511" s="3" t="n">
        <v>737</v>
      </c>
      <c r="G511" s="4" t="s">
        <v>104</v>
      </c>
      <c r="H511" s="5" t="n">
        <v>1600000</v>
      </c>
      <c r="I511" s="3" t="s">
        <v>66</v>
      </c>
      <c r="J511" s="6" t="n">
        <v>493</v>
      </c>
      <c r="K511" s="6" t="n">
        <v>332</v>
      </c>
      <c r="L511" s="7" t="n">
        <f aca="false">K511*1.35582</f>
        <v>450.13224</v>
      </c>
      <c r="M511" s="6" t="n">
        <v>3120</v>
      </c>
      <c r="N511" s="7" t="n">
        <f aca="false">M511*0.453592</f>
        <v>1415.20704</v>
      </c>
      <c r="O511" s="3" t="s">
        <v>26</v>
      </c>
      <c r="P511" s="3" t="s">
        <v>67</v>
      </c>
      <c r="Q511" s="8" t="n">
        <f aca="false">J511/M511</f>
        <v>0.158012820512821</v>
      </c>
      <c r="R511" s="8" t="n">
        <f aca="false">J511/N511</f>
        <v>0.34835892280468</v>
      </c>
      <c r="S511" s="4" t="s">
        <v>99</v>
      </c>
    </row>
    <row r="512" customFormat="false" ht="14.25" hidden="false" customHeight="true" outlineLevel="0" collapsed="false">
      <c r="A512" s="3" t="s">
        <v>100</v>
      </c>
      <c r="B512" s="4" t="s">
        <v>705</v>
      </c>
      <c r="C512" s="4" t="s">
        <v>712</v>
      </c>
      <c r="D512" s="4" t="s">
        <v>22</v>
      </c>
      <c r="E512" s="3" t="s">
        <v>70</v>
      </c>
      <c r="F512" s="3" t="n">
        <v>675</v>
      </c>
      <c r="G512" s="4" t="s">
        <v>104</v>
      </c>
      <c r="H512" s="5" t="n">
        <v>190000</v>
      </c>
      <c r="I512" s="3" t="s">
        <v>55</v>
      </c>
      <c r="J512" s="6" t="n">
        <v>361</v>
      </c>
      <c r="K512" s="6" t="n">
        <v>317</v>
      </c>
      <c r="L512" s="7" t="n">
        <f aca="false">K512*1.35582</f>
        <v>429.79494</v>
      </c>
      <c r="M512" s="6" t="n">
        <v>3135</v>
      </c>
      <c r="N512" s="7" t="n">
        <f aca="false">M512*0.453592</f>
        <v>1422.01092</v>
      </c>
      <c r="O512" s="3" t="s">
        <v>26</v>
      </c>
      <c r="P512" s="3" t="s">
        <v>67</v>
      </c>
      <c r="Q512" s="8" t="n">
        <f aca="false">J512/M512</f>
        <v>0.115151515151515</v>
      </c>
      <c r="R512" s="8" t="n">
        <f aca="false">J512/N512</f>
        <v>0.253865842324193</v>
      </c>
      <c r="S512" s="4" t="s">
        <v>35</v>
      </c>
    </row>
    <row r="513" customFormat="false" ht="14.25" hidden="false" customHeight="true" outlineLevel="0" collapsed="false">
      <c r="A513" s="3" t="s">
        <v>175</v>
      </c>
      <c r="B513" s="4" t="s">
        <v>705</v>
      </c>
      <c r="C513" s="4" t="s">
        <v>713</v>
      </c>
      <c r="D513" s="4" t="s">
        <v>82</v>
      </c>
      <c r="E513" s="3" t="s">
        <v>23</v>
      </c>
      <c r="F513" s="3" t="n">
        <v>490</v>
      </c>
      <c r="G513" s="4" t="s">
        <v>104</v>
      </c>
      <c r="H513" s="5" t="n">
        <v>75000</v>
      </c>
      <c r="I513" s="3" t="s">
        <v>55</v>
      </c>
      <c r="J513" s="6" t="n">
        <v>207</v>
      </c>
      <c r="K513" s="6" t="n">
        <v>188</v>
      </c>
      <c r="L513" s="7" t="n">
        <f aca="false">K513*1.35582</f>
        <v>254.89416</v>
      </c>
      <c r="M513" s="6" t="n">
        <v>2450</v>
      </c>
      <c r="N513" s="7" t="n">
        <f aca="false">M513*0.453592</f>
        <v>1111.3004</v>
      </c>
      <c r="O513" s="3" t="s">
        <v>26</v>
      </c>
      <c r="P513" s="3" t="s">
        <v>34</v>
      </c>
      <c r="Q513" s="8" t="n">
        <f aca="false">J513/M513</f>
        <v>0.0844897959183674</v>
      </c>
      <c r="R513" s="8" t="n">
        <f aca="false">J513/N513</f>
        <v>0.186268267337976</v>
      </c>
      <c r="S513" s="4" t="s">
        <v>35</v>
      </c>
    </row>
    <row r="514" customFormat="false" ht="14.25" hidden="false" customHeight="true" outlineLevel="0" collapsed="false">
      <c r="A514" s="3" t="s">
        <v>121</v>
      </c>
      <c r="B514" s="4" t="s">
        <v>705</v>
      </c>
      <c r="C514" s="4" t="s">
        <v>714</v>
      </c>
      <c r="D514" s="4" t="s">
        <v>22</v>
      </c>
      <c r="E514" s="3" t="s">
        <v>54</v>
      </c>
      <c r="F514" s="3" t="n">
        <v>714</v>
      </c>
      <c r="G514" s="4" t="s">
        <v>104</v>
      </c>
      <c r="H514" s="5" t="n">
        <v>1050000</v>
      </c>
      <c r="I514" s="3" t="s">
        <v>66</v>
      </c>
      <c r="J514" s="6" t="n">
        <v>444</v>
      </c>
      <c r="K514" s="6" t="n">
        <v>391</v>
      </c>
      <c r="L514" s="7" t="n">
        <f aca="false">K514*1.35582</f>
        <v>530.12562</v>
      </c>
      <c r="M514" s="6" t="n">
        <v>3340</v>
      </c>
      <c r="N514" s="7" t="n">
        <f aca="false">M514*0.453592</f>
        <v>1514.99728</v>
      </c>
      <c r="O514" s="3" t="s">
        <v>26</v>
      </c>
      <c r="P514" s="3" t="s">
        <v>34</v>
      </c>
      <c r="Q514" s="8" t="n">
        <f aca="false">J514/M514</f>
        <v>0.132934131736527</v>
      </c>
      <c r="R514" s="8" t="n">
        <f aca="false">J514/N514</f>
        <v>0.293069833102275</v>
      </c>
      <c r="S514" s="4" t="s">
        <v>35</v>
      </c>
    </row>
    <row r="515" customFormat="false" ht="14.25" hidden="false" customHeight="true" outlineLevel="0" collapsed="false">
      <c r="A515" s="3" t="s">
        <v>598</v>
      </c>
      <c r="B515" s="4" t="s">
        <v>705</v>
      </c>
      <c r="C515" s="4" t="s">
        <v>715</v>
      </c>
      <c r="D515" s="4" t="s">
        <v>186</v>
      </c>
      <c r="E515" s="3" t="s">
        <v>54</v>
      </c>
      <c r="F515" s="3" t="n">
        <v>746</v>
      </c>
      <c r="G515" s="4" t="s">
        <v>104</v>
      </c>
      <c r="H515" s="5" t="n">
        <v>145000</v>
      </c>
      <c r="I515" s="3" t="s">
        <v>25</v>
      </c>
      <c r="J515" s="6" t="n">
        <v>536</v>
      </c>
      <c r="K515" s="6" t="n">
        <v>442</v>
      </c>
      <c r="L515" s="7" t="n">
        <f aca="false">K515*1.35582</f>
        <v>599.27244</v>
      </c>
      <c r="M515" s="6" t="n">
        <v>2646</v>
      </c>
      <c r="N515" s="7" t="n">
        <f aca="false">M515*0.453592</f>
        <v>1200.204432</v>
      </c>
      <c r="O515" s="3" t="s">
        <v>26</v>
      </c>
      <c r="P515" s="3" t="s">
        <v>67</v>
      </c>
      <c r="Q515" s="8" t="n">
        <f aca="false">J515/M515</f>
        <v>0.202569916855631</v>
      </c>
      <c r="R515" s="8" t="n">
        <f aca="false">J515/N515</f>
        <v>0.446590585494522</v>
      </c>
      <c r="S515" s="4" t="s">
        <v>35</v>
      </c>
    </row>
    <row r="516" customFormat="false" ht="14.25" hidden="false" customHeight="true" outlineLevel="0" collapsed="false">
      <c r="A516" s="3" t="s">
        <v>178</v>
      </c>
      <c r="B516" s="4" t="s">
        <v>705</v>
      </c>
      <c r="C516" s="4" t="s">
        <v>716</v>
      </c>
      <c r="D516" s="4" t="s">
        <v>186</v>
      </c>
      <c r="E516" s="3" t="s">
        <v>70</v>
      </c>
      <c r="F516" s="3" t="n">
        <v>644</v>
      </c>
      <c r="G516" s="4" t="s">
        <v>104</v>
      </c>
      <c r="H516" s="5" t="n">
        <v>4000000</v>
      </c>
      <c r="I516" s="3" t="s">
        <v>66</v>
      </c>
      <c r="J516" s="6" t="n">
        <v>424</v>
      </c>
      <c r="K516" s="6" t="n">
        <v>398</v>
      </c>
      <c r="L516" s="7" t="n">
        <f aca="false">K516*1.35582</f>
        <v>539.61636</v>
      </c>
      <c r="M516" s="6" t="n">
        <v>2855</v>
      </c>
      <c r="N516" s="7" t="n">
        <f aca="false">M516*0.453592</f>
        <v>1295.00516</v>
      </c>
      <c r="O516" s="3"/>
      <c r="P516" s="3"/>
      <c r="Q516" s="8" t="n">
        <f aca="false">J516/M516</f>
        <v>0.148511383537653</v>
      </c>
      <c r="R516" s="8" t="n">
        <f aca="false">J516/N516</f>
        <v>0.327411822822389</v>
      </c>
      <c r="S516" s="4" t="s">
        <v>105</v>
      </c>
    </row>
    <row r="517" customFormat="false" ht="14.25" hidden="false" customHeight="true" outlineLevel="0" collapsed="false">
      <c r="A517" s="3" t="s">
        <v>100</v>
      </c>
      <c r="B517" s="4" t="s">
        <v>705</v>
      </c>
      <c r="C517" s="4" t="s">
        <v>717</v>
      </c>
      <c r="D517" s="4" t="s">
        <v>171</v>
      </c>
      <c r="E517" s="3" t="s">
        <v>109</v>
      </c>
      <c r="F517" s="3" t="n">
        <v>803</v>
      </c>
      <c r="G517" s="4" t="s">
        <v>104</v>
      </c>
      <c r="H517" s="5"/>
      <c r="I517" s="3"/>
      <c r="J517" s="6" t="n">
        <v>691</v>
      </c>
      <c r="K517" s="6" t="n">
        <v>553</v>
      </c>
      <c r="L517" s="7" t="n">
        <f aca="false">K517*1.35582</f>
        <v>749.76846</v>
      </c>
      <c r="M517" s="6" t="n">
        <v>3197</v>
      </c>
      <c r="N517" s="7" t="n">
        <f aca="false">M517*0.453592</f>
        <v>1450.133624</v>
      </c>
      <c r="O517" s="3" t="s">
        <v>26</v>
      </c>
      <c r="P517" s="3" t="s">
        <v>34</v>
      </c>
      <c r="Q517" s="8" t="n">
        <f aca="false">J517/M517</f>
        <v>0.216140131373162</v>
      </c>
      <c r="R517" s="8" t="n">
        <f aca="false">J517/N517</f>
        <v>0.476507811807004</v>
      </c>
      <c r="S517" s="4" t="s">
        <v>35</v>
      </c>
    </row>
    <row r="518" customFormat="false" ht="14.25" hidden="false" customHeight="true" outlineLevel="0" collapsed="false">
      <c r="A518" s="3" t="s">
        <v>431</v>
      </c>
      <c r="B518" s="4" t="s">
        <v>705</v>
      </c>
      <c r="C518" s="4" t="s">
        <v>718</v>
      </c>
      <c r="D518" s="4" t="s">
        <v>186</v>
      </c>
      <c r="E518" s="3" t="s">
        <v>70</v>
      </c>
      <c r="F518" s="3" t="n">
        <v>674</v>
      </c>
      <c r="G518" s="4" t="s">
        <v>104</v>
      </c>
      <c r="H518" s="5" t="n">
        <v>550000</v>
      </c>
      <c r="I518" s="3" t="s">
        <v>55</v>
      </c>
      <c r="J518" s="6" t="n">
        <v>381</v>
      </c>
      <c r="K518" s="6" t="n">
        <v>284</v>
      </c>
      <c r="L518" s="7" t="n">
        <f aca="false">K518*1.35582</f>
        <v>385.05288</v>
      </c>
      <c r="M518" s="6" t="n">
        <v>3160</v>
      </c>
      <c r="N518" s="7" t="n">
        <f aca="false">M518*0.453592</f>
        <v>1433.35072</v>
      </c>
      <c r="O518" s="3" t="s">
        <v>26</v>
      </c>
      <c r="P518" s="3" t="s">
        <v>67</v>
      </c>
      <c r="Q518" s="8" t="n">
        <f aca="false">J518/M518</f>
        <v>0.120569620253165</v>
      </c>
      <c r="R518" s="8" t="n">
        <f aca="false">J518/N518</f>
        <v>0.265810729142411</v>
      </c>
      <c r="S518" s="4" t="s">
        <v>35</v>
      </c>
    </row>
    <row r="519" customFormat="false" ht="14.25" hidden="false" customHeight="true" outlineLevel="0" collapsed="false">
      <c r="A519" s="3" t="s">
        <v>76</v>
      </c>
      <c r="B519" s="4" t="s">
        <v>705</v>
      </c>
      <c r="C519" s="4" t="s">
        <v>718</v>
      </c>
      <c r="D519" s="4" t="s">
        <v>171</v>
      </c>
      <c r="E519" s="3" t="s">
        <v>54</v>
      </c>
      <c r="F519" s="3" t="n">
        <v>752</v>
      </c>
      <c r="G519" s="4" t="s">
        <v>104</v>
      </c>
      <c r="H519" s="5" t="n">
        <v>135000</v>
      </c>
      <c r="I519" s="3" t="s">
        <v>25</v>
      </c>
      <c r="J519" s="6" t="n">
        <v>503</v>
      </c>
      <c r="K519" s="6" t="n">
        <v>346</v>
      </c>
      <c r="L519" s="7" t="n">
        <f aca="false">K519*1.35582</f>
        <v>469.11372</v>
      </c>
      <c r="M519" s="6" t="n">
        <v>3164</v>
      </c>
      <c r="N519" s="7" t="n">
        <f aca="false">M519*0.453592</f>
        <v>1435.165088</v>
      </c>
      <c r="O519" s="3" t="s">
        <v>26</v>
      </c>
      <c r="P519" s="3" t="s">
        <v>34</v>
      </c>
      <c r="Q519" s="8" t="n">
        <f aca="false">J519/M519</f>
        <v>0.15897597977244</v>
      </c>
      <c r="R519" s="8" t="n">
        <f aca="false">J519/N519</f>
        <v>0.350482327228963</v>
      </c>
      <c r="S519" s="4" t="s">
        <v>35</v>
      </c>
    </row>
    <row r="520" customFormat="false" ht="14.25" hidden="false" customHeight="true" outlineLevel="0" collapsed="false">
      <c r="A520" s="3" t="s">
        <v>43</v>
      </c>
      <c r="B520" s="4" t="s">
        <v>705</v>
      </c>
      <c r="C520" s="4" t="s">
        <v>719</v>
      </c>
      <c r="D520" s="4" t="s">
        <v>171</v>
      </c>
      <c r="E520" s="3" t="s">
        <v>54</v>
      </c>
      <c r="F520" s="3" t="n">
        <v>760</v>
      </c>
      <c r="G520" s="4" t="s">
        <v>104</v>
      </c>
      <c r="H520" s="5" t="n">
        <v>260000</v>
      </c>
      <c r="I520" s="3" t="s">
        <v>55</v>
      </c>
      <c r="J520" s="6" t="n">
        <v>518</v>
      </c>
      <c r="K520" s="6" t="n">
        <v>343</v>
      </c>
      <c r="L520" s="7" t="n">
        <f aca="false">K520*1.35582</f>
        <v>465.04626</v>
      </c>
      <c r="M520" s="6" t="n">
        <v>3197</v>
      </c>
      <c r="N520" s="7" t="n">
        <f aca="false">M520*0.453592</f>
        <v>1450.133624</v>
      </c>
      <c r="O520" s="3"/>
      <c r="P520" s="3"/>
      <c r="Q520" s="8" t="n">
        <f aca="false">J520/M520</f>
        <v>0.162026900218955</v>
      </c>
      <c r="R520" s="8" t="n">
        <f aca="false">J520/N520</f>
        <v>0.357208460949389</v>
      </c>
      <c r="S520" s="4" t="s">
        <v>105</v>
      </c>
    </row>
    <row r="521" customFormat="false" ht="14.25" hidden="false" customHeight="true" outlineLevel="0" collapsed="false">
      <c r="A521" s="3" t="s">
        <v>43</v>
      </c>
      <c r="B521" s="4" t="s">
        <v>705</v>
      </c>
      <c r="C521" s="4" t="s">
        <v>719</v>
      </c>
      <c r="D521" s="4" t="s">
        <v>171</v>
      </c>
      <c r="E521" s="3" t="s">
        <v>54</v>
      </c>
      <c r="F521" s="3" t="n">
        <v>758</v>
      </c>
      <c r="G521" s="4" t="s">
        <v>104</v>
      </c>
      <c r="H521" s="5"/>
      <c r="I521" s="3"/>
      <c r="J521" s="6" t="n">
        <v>518</v>
      </c>
      <c r="K521" s="6" t="n">
        <v>343</v>
      </c>
      <c r="L521" s="7" t="n">
        <f aca="false">K521*1.35582</f>
        <v>465.04626</v>
      </c>
      <c r="M521" s="6" t="n">
        <v>3197</v>
      </c>
      <c r="N521" s="7" t="n">
        <f aca="false">M521*0.453592</f>
        <v>1450.133624</v>
      </c>
      <c r="O521" s="3" t="s">
        <v>26</v>
      </c>
      <c r="P521" s="3" t="s">
        <v>34</v>
      </c>
      <c r="Q521" s="8" t="n">
        <f aca="false">J521/M521</f>
        <v>0.162026900218955</v>
      </c>
      <c r="R521" s="8" t="n">
        <f aca="false">J521/N521</f>
        <v>0.357208460949389</v>
      </c>
      <c r="S521" s="4" t="s">
        <v>35</v>
      </c>
    </row>
    <row r="522" customFormat="false" ht="14.25" hidden="false" customHeight="true" outlineLevel="0" collapsed="false">
      <c r="A522" s="3" t="s">
        <v>203</v>
      </c>
      <c r="B522" s="4" t="s">
        <v>705</v>
      </c>
      <c r="C522" s="4" t="s">
        <v>720</v>
      </c>
      <c r="D522" s="4" t="s">
        <v>171</v>
      </c>
      <c r="E522" s="3" t="s">
        <v>54</v>
      </c>
      <c r="F522" s="3" t="n">
        <v>726</v>
      </c>
      <c r="G522" s="4" t="s">
        <v>104</v>
      </c>
      <c r="H522" s="5" t="n">
        <v>424000</v>
      </c>
      <c r="I522" s="3" t="s">
        <v>55</v>
      </c>
      <c r="J522" s="6" t="n">
        <v>493</v>
      </c>
      <c r="K522" s="6" t="n">
        <v>339</v>
      </c>
      <c r="L522" s="7" t="n">
        <f aca="false">K522*1.35582</f>
        <v>459.62298</v>
      </c>
      <c r="M522" s="6" t="n">
        <v>2998</v>
      </c>
      <c r="N522" s="7" t="n">
        <f aca="false">M522*0.453592</f>
        <v>1359.868816</v>
      </c>
      <c r="O522" s="3" t="s">
        <v>26</v>
      </c>
      <c r="P522" s="3" t="s">
        <v>34</v>
      </c>
      <c r="Q522" s="8" t="n">
        <f aca="false">J522/M522</f>
        <v>0.16444296197465</v>
      </c>
      <c r="R522" s="8" t="n">
        <f aca="false">J522/N522</f>
        <v>0.362534969696665</v>
      </c>
      <c r="S522" s="4" t="s">
        <v>99</v>
      </c>
    </row>
    <row r="523" customFormat="false" ht="14.25" hidden="false" customHeight="true" outlineLevel="0" collapsed="false">
      <c r="A523" s="3" t="s">
        <v>43</v>
      </c>
      <c r="B523" s="4" t="s">
        <v>705</v>
      </c>
      <c r="C523" s="4" t="s">
        <v>721</v>
      </c>
      <c r="D523" s="4" t="s">
        <v>136</v>
      </c>
      <c r="E523" s="3" t="s">
        <v>70</v>
      </c>
      <c r="F523" s="3" t="n">
        <v>700</v>
      </c>
      <c r="G523" s="4" t="s">
        <v>104</v>
      </c>
      <c r="H523" s="5" t="n">
        <v>930000</v>
      </c>
      <c r="I523" s="3" t="s">
        <v>55</v>
      </c>
      <c r="J523" s="6" t="n">
        <v>473</v>
      </c>
      <c r="K523" s="6" t="n">
        <v>420</v>
      </c>
      <c r="L523" s="7" t="n">
        <f aca="false">K523*1.35582</f>
        <v>569.4444</v>
      </c>
      <c r="M523" s="6" t="n">
        <v>3552</v>
      </c>
      <c r="N523" s="7" t="n">
        <f aca="false">M523*0.453592</f>
        <v>1611.158784</v>
      </c>
      <c r="O523" s="3"/>
      <c r="P523" s="3"/>
      <c r="Q523" s="8" t="n">
        <f aca="false">J523/M523</f>
        <v>0.133164414414414</v>
      </c>
      <c r="R523" s="8" t="n">
        <f aca="false">J523/N523</f>
        <v>0.293577519917491</v>
      </c>
      <c r="S523" s="4" t="s">
        <v>28</v>
      </c>
    </row>
    <row r="524" customFormat="false" ht="14.25" hidden="false" customHeight="true" outlineLevel="0" collapsed="false">
      <c r="A524" s="3" t="s">
        <v>277</v>
      </c>
      <c r="B524" s="4" t="s">
        <v>705</v>
      </c>
      <c r="C524" s="4" t="s">
        <v>722</v>
      </c>
      <c r="D524" s="4" t="s">
        <v>186</v>
      </c>
      <c r="E524" s="3" t="s">
        <v>39</v>
      </c>
      <c r="F524" s="3" t="n">
        <v>550</v>
      </c>
      <c r="G524" s="4" t="s">
        <v>104</v>
      </c>
      <c r="H524" s="5"/>
      <c r="I524" s="3"/>
      <c r="J524" s="6" t="n">
        <v>296</v>
      </c>
      <c r="K524" s="6" t="n">
        <v>304</v>
      </c>
      <c r="L524" s="7" t="n">
        <f aca="false">K524*1.35582</f>
        <v>412.16928</v>
      </c>
      <c r="M524" s="6" t="n">
        <v>2866</v>
      </c>
      <c r="N524" s="7" t="n">
        <f aca="false">M524*0.453592</f>
        <v>1299.994672</v>
      </c>
      <c r="O524" s="3"/>
      <c r="P524" s="3"/>
      <c r="Q524" s="8" t="n">
        <f aca="false">J524/M524</f>
        <v>0.103279832519191</v>
      </c>
      <c r="R524" s="8" t="n">
        <f aca="false">J524/N524</f>
        <v>0.227693240884298</v>
      </c>
      <c r="S524" s="4" t="s">
        <v>188</v>
      </c>
    </row>
    <row r="525" customFormat="false" ht="14.25" hidden="false" customHeight="true" outlineLevel="0" collapsed="false">
      <c r="A525" s="3" t="s">
        <v>43</v>
      </c>
      <c r="B525" s="4" t="s">
        <v>705</v>
      </c>
      <c r="C525" s="4" t="s">
        <v>723</v>
      </c>
      <c r="D525" s="4" t="s">
        <v>53</v>
      </c>
      <c r="E525" s="3" t="s">
        <v>54</v>
      </c>
      <c r="F525" s="3" t="n">
        <v>774</v>
      </c>
      <c r="G525" s="4" t="s">
        <v>104</v>
      </c>
      <c r="H525" s="5" t="n">
        <v>240000</v>
      </c>
      <c r="I525" s="3" t="s">
        <v>447</v>
      </c>
      <c r="J525" s="6" t="n">
        <v>641</v>
      </c>
      <c r="K525" s="6" t="n">
        <v>590</v>
      </c>
      <c r="L525" s="7" t="n">
        <f aca="false">K525*1.35582</f>
        <v>799.9338</v>
      </c>
      <c r="M525" s="6" t="n">
        <v>3450</v>
      </c>
      <c r="N525" s="7" t="n">
        <f aca="false">M525*0.453592</f>
        <v>1564.8924</v>
      </c>
      <c r="O525" s="3" t="s">
        <v>62</v>
      </c>
      <c r="P525" s="3" t="s">
        <v>34</v>
      </c>
      <c r="Q525" s="8" t="n">
        <f aca="false">J525/M525</f>
        <v>0.185797101449275</v>
      </c>
      <c r="R525" s="8" t="n">
        <f aca="false">J525/N525</f>
        <v>0.409612827054435</v>
      </c>
      <c r="S525" s="4" t="s">
        <v>35</v>
      </c>
    </row>
    <row r="526" customFormat="false" ht="14.25" hidden="false" customHeight="true" outlineLevel="0" collapsed="false">
      <c r="A526" s="3" t="s">
        <v>164</v>
      </c>
      <c r="B526" s="4" t="s">
        <v>705</v>
      </c>
      <c r="C526" s="4" t="s">
        <v>724</v>
      </c>
      <c r="D526" s="4" t="s">
        <v>120</v>
      </c>
      <c r="E526" s="3" t="s">
        <v>70</v>
      </c>
      <c r="F526" s="3" t="n">
        <v>652</v>
      </c>
      <c r="G526" s="4" t="s">
        <v>104</v>
      </c>
      <c r="H526" s="5" t="n">
        <v>275000</v>
      </c>
      <c r="I526" s="3" t="s">
        <v>25</v>
      </c>
      <c r="J526" s="6" t="n">
        <v>381</v>
      </c>
      <c r="K526" s="6" t="n">
        <v>347</v>
      </c>
      <c r="L526" s="7" t="n">
        <f aca="false">K526*1.35582</f>
        <v>470.46954</v>
      </c>
      <c r="M526" s="6" t="n">
        <v>2844</v>
      </c>
      <c r="N526" s="7" t="n">
        <f aca="false">M526*0.453592</f>
        <v>1290.015648</v>
      </c>
      <c r="O526" s="3"/>
      <c r="P526" s="3"/>
      <c r="Q526" s="8" t="n">
        <f aca="false">J526/M526</f>
        <v>0.133966244725738</v>
      </c>
      <c r="R526" s="8" t="n">
        <f aca="false">J526/N526</f>
        <v>0.295345254602679</v>
      </c>
      <c r="S526" s="4" t="s">
        <v>28</v>
      </c>
    </row>
    <row r="527" customFormat="false" ht="14.25" hidden="false" customHeight="true" outlineLevel="0" collapsed="false">
      <c r="A527" s="3" t="s">
        <v>68</v>
      </c>
      <c r="B527" s="4" t="s">
        <v>705</v>
      </c>
      <c r="C527" s="4" t="s">
        <v>725</v>
      </c>
      <c r="D527" s="4" t="s">
        <v>126</v>
      </c>
      <c r="E527" s="3" t="s">
        <v>109</v>
      </c>
      <c r="F527" s="3" t="n">
        <v>858</v>
      </c>
      <c r="G527" s="4" t="s">
        <v>104</v>
      </c>
      <c r="H527" s="5" t="n">
        <v>600000</v>
      </c>
      <c r="I527" s="3" t="s">
        <v>66</v>
      </c>
      <c r="J527" s="6" t="n">
        <v>887</v>
      </c>
      <c r="K527" s="6" t="n">
        <v>829</v>
      </c>
      <c r="L527" s="7" t="n">
        <f aca="false">K527*1.35582</f>
        <v>1123.97478</v>
      </c>
      <c r="M527" s="6" t="n">
        <v>3692</v>
      </c>
      <c r="N527" s="7" t="n">
        <f aca="false">M527*0.453592</f>
        <v>1674.661664</v>
      </c>
      <c r="O527" s="3" t="s">
        <v>62</v>
      </c>
      <c r="P527" s="3" t="s">
        <v>67</v>
      </c>
      <c r="Q527" s="8" t="n">
        <f aca="false">J527/M527</f>
        <v>0.240249187432286</v>
      </c>
      <c r="R527" s="8" t="n">
        <f aca="false">J527/N527</f>
        <v>0.529659225542527</v>
      </c>
      <c r="S527" s="4" t="s">
        <v>99</v>
      </c>
    </row>
    <row r="528" customFormat="false" ht="14.25" hidden="false" customHeight="true" outlineLevel="0" collapsed="false">
      <c r="A528" s="3" t="s">
        <v>164</v>
      </c>
      <c r="B528" s="4" t="s">
        <v>705</v>
      </c>
      <c r="C528" s="4" t="s">
        <v>726</v>
      </c>
      <c r="D528" s="4" t="s">
        <v>120</v>
      </c>
      <c r="E528" s="3" t="s">
        <v>39</v>
      </c>
      <c r="F528" s="3" t="n">
        <v>563</v>
      </c>
      <c r="G528" s="4" t="s">
        <v>104</v>
      </c>
      <c r="H528" s="5" t="n">
        <v>2300000</v>
      </c>
      <c r="I528" s="3" t="s">
        <v>66</v>
      </c>
      <c r="J528" s="6" t="n">
        <v>345</v>
      </c>
      <c r="K528" s="6" t="n">
        <v>369</v>
      </c>
      <c r="L528" s="7" t="n">
        <f aca="false">K528*1.35582</f>
        <v>500.29758</v>
      </c>
      <c r="M528" s="6" t="n">
        <v>3594</v>
      </c>
      <c r="N528" s="7" t="n">
        <f aca="false">M528*0.453592</f>
        <v>1630.209648</v>
      </c>
      <c r="O528" s="3" t="s">
        <v>26</v>
      </c>
      <c r="P528" s="3" t="s">
        <v>27</v>
      </c>
      <c r="Q528" s="8" t="n">
        <f aca="false">J528/M528</f>
        <v>0.0959933222036728</v>
      </c>
      <c r="R528" s="8" t="n">
        <f aca="false">J528/N528</f>
        <v>0.211629222304787</v>
      </c>
      <c r="S528" s="4" t="s">
        <v>35</v>
      </c>
    </row>
    <row r="529" customFormat="false" ht="14.25" hidden="false" customHeight="true" outlineLevel="0" collapsed="false">
      <c r="A529" s="3" t="s">
        <v>325</v>
      </c>
      <c r="B529" s="4" t="s">
        <v>705</v>
      </c>
      <c r="C529" s="4" t="s">
        <v>727</v>
      </c>
      <c r="D529" s="4" t="s">
        <v>120</v>
      </c>
      <c r="E529" s="3" t="s">
        <v>39</v>
      </c>
      <c r="F529" s="3" t="n">
        <v>539</v>
      </c>
      <c r="G529" s="4" t="s">
        <v>104</v>
      </c>
      <c r="H529" s="5" t="n">
        <v>150000</v>
      </c>
      <c r="I529" s="3" t="s">
        <v>25</v>
      </c>
      <c r="J529" s="6" t="n">
        <v>247</v>
      </c>
      <c r="K529" s="6" t="n">
        <v>258</v>
      </c>
      <c r="L529" s="7" t="n">
        <f aca="false">K529*1.35582</f>
        <v>349.80156</v>
      </c>
      <c r="M529" s="6" t="n">
        <v>3115</v>
      </c>
      <c r="N529" s="7" t="n">
        <f aca="false">M529*0.453592</f>
        <v>1412.93908</v>
      </c>
      <c r="O529" s="3" t="s">
        <v>26</v>
      </c>
      <c r="P529" s="3" t="s">
        <v>27</v>
      </c>
      <c r="Q529" s="8" t="n">
        <f aca="false">J529/M529</f>
        <v>0.0792937399678973</v>
      </c>
      <c r="R529" s="8" t="n">
        <f aca="false">J529/N529</f>
        <v>0.174812915500929</v>
      </c>
      <c r="S529" s="4" t="s">
        <v>35</v>
      </c>
    </row>
    <row r="530" customFormat="false" ht="14.25" hidden="false" customHeight="true" outlineLevel="0" collapsed="false">
      <c r="A530" s="3" t="s">
        <v>211</v>
      </c>
      <c r="B530" s="4" t="s">
        <v>705</v>
      </c>
      <c r="C530" s="4" t="s">
        <v>728</v>
      </c>
      <c r="D530" s="4" t="s">
        <v>186</v>
      </c>
      <c r="E530" s="3" t="s">
        <v>70</v>
      </c>
      <c r="F530" s="3" t="n">
        <v>661</v>
      </c>
      <c r="G530" s="4" t="s">
        <v>104</v>
      </c>
      <c r="H530" s="5" t="n">
        <v>30000</v>
      </c>
      <c r="I530" s="3" t="s">
        <v>25</v>
      </c>
      <c r="J530" s="6" t="n">
        <v>450</v>
      </c>
      <c r="K530" s="6" t="n">
        <v>369</v>
      </c>
      <c r="L530" s="7" t="n">
        <f aca="false">K530*1.35582</f>
        <v>500.29758</v>
      </c>
      <c r="M530" s="6" t="n">
        <v>3190</v>
      </c>
      <c r="N530" s="7" t="n">
        <f aca="false">M530*0.453592</f>
        <v>1446.95848</v>
      </c>
      <c r="O530" s="3"/>
      <c r="P530" s="3"/>
      <c r="Q530" s="8" t="n">
        <f aca="false">J530/M530</f>
        <v>0.141065830721003</v>
      </c>
      <c r="R530" s="8" t="n">
        <f aca="false">J530/N530</f>
        <v>0.310997175261034</v>
      </c>
      <c r="S530" s="4" t="s">
        <v>188</v>
      </c>
    </row>
    <row r="531" customFormat="false" ht="14.25" hidden="false" customHeight="true" outlineLevel="0" collapsed="false">
      <c r="A531" s="3" t="s">
        <v>164</v>
      </c>
      <c r="B531" s="4" t="s">
        <v>705</v>
      </c>
      <c r="C531" s="4" t="s">
        <v>729</v>
      </c>
      <c r="D531" s="4" t="s">
        <v>120</v>
      </c>
      <c r="E531" s="3" t="s">
        <v>39</v>
      </c>
      <c r="F531" s="3" t="n">
        <v>594</v>
      </c>
      <c r="G531" s="4" t="s">
        <v>104</v>
      </c>
      <c r="H531" s="5" t="n">
        <v>520000</v>
      </c>
      <c r="I531" s="3" t="s">
        <v>25</v>
      </c>
      <c r="J531" s="6" t="n">
        <v>305</v>
      </c>
      <c r="K531" s="6" t="n">
        <v>369</v>
      </c>
      <c r="L531" s="7" t="n">
        <f aca="false">K531*1.35582</f>
        <v>500.29758</v>
      </c>
      <c r="M531" s="6" t="n">
        <v>2866</v>
      </c>
      <c r="N531" s="7" t="n">
        <f aca="false">M531*0.453592</f>
        <v>1299.994672</v>
      </c>
      <c r="O531" s="3" t="s">
        <v>26</v>
      </c>
      <c r="P531" s="3" t="s">
        <v>27</v>
      </c>
      <c r="Q531" s="8" t="n">
        <f aca="false">J531/M531</f>
        <v>0.106420097697139</v>
      </c>
      <c r="R531" s="8" t="n">
        <f aca="false">J531/N531</f>
        <v>0.234616346181456</v>
      </c>
      <c r="S531" s="4" t="s">
        <v>35</v>
      </c>
    </row>
    <row r="532" customFormat="false" ht="14.25" hidden="false" customHeight="true" outlineLevel="0" collapsed="false">
      <c r="A532" s="3" t="s">
        <v>118</v>
      </c>
      <c r="B532" s="4" t="s">
        <v>705</v>
      </c>
      <c r="C532" s="4" t="s">
        <v>730</v>
      </c>
      <c r="D532" s="4" t="s">
        <v>186</v>
      </c>
      <c r="E532" s="3" t="s">
        <v>54</v>
      </c>
      <c r="F532" s="3" t="n">
        <v>758</v>
      </c>
      <c r="G532" s="4" t="s">
        <v>104</v>
      </c>
      <c r="H532" s="5"/>
      <c r="I532" s="3"/>
      <c r="J532" s="6" t="n">
        <v>605</v>
      </c>
      <c r="K532" s="6" t="n">
        <v>435</v>
      </c>
      <c r="L532" s="7" t="n">
        <f aca="false">K532*1.35582</f>
        <v>589.7817</v>
      </c>
      <c r="M532" s="6" t="n">
        <v>3258</v>
      </c>
      <c r="N532" s="7" t="n">
        <f aca="false">M532*0.453592</f>
        <v>1477.802736</v>
      </c>
      <c r="O532" s="3"/>
      <c r="P532" s="3"/>
      <c r="Q532" s="8" t="n">
        <f aca="false">J532/M532</f>
        <v>0.185696746470227</v>
      </c>
      <c r="R532" s="8" t="n">
        <f aca="false">J532/N532</f>
        <v>0.409391582016938</v>
      </c>
      <c r="S532" s="4" t="s">
        <v>84</v>
      </c>
    </row>
    <row r="533" customFormat="false" ht="14.25" hidden="false" customHeight="true" outlineLevel="0" collapsed="false">
      <c r="A533" s="3" t="s">
        <v>100</v>
      </c>
      <c r="B533" s="4" t="s">
        <v>705</v>
      </c>
      <c r="C533" s="4" t="s">
        <v>731</v>
      </c>
      <c r="D533" s="4" t="s">
        <v>124</v>
      </c>
      <c r="E533" s="3" t="s">
        <v>70</v>
      </c>
      <c r="F533" s="3" t="n">
        <v>638</v>
      </c>
      <c r="G533" s="4" t="s">
        <v>104</v>
      </c>
      <c r="H533" s="5" t="n">
        <v>79000</v>
      </c>
      <c r="I533" s="3" t="s">
        <v>55</v>
      </c>
      <c r="J533" s="6" t="n">
        <v>550</v>
      </c>
      <c r="K533" s="6" t="n">
        <v>567</v>
      </c>
      <c r="L533" s="7" t="n">
        <f aca="false">K533*1.35582</f>
        <v>768.74994</v>
      </c>
      <c r="M533" s="6" t="n">
        <v>4796</v>
      </c>
      <c r="N533" s="7" t="n">
        <f aca="false">M533*0.453592</f>
        <v>2175.427232</v>
      </c>
      <c r="O533" s="3" t="s">
        <v>62</v>
      </c>
      <c r="P533" s="3" t="s">
        <v>27</v>
      </c>
      <c r="Q533" s="8" t="n">
        <f aca="false">J533/M533</f>
        <v>0.114678899082569</v>
      </c>
      <c r="R533" s="8" t="n">
        <f aca="false">J533/N533</f>
        <v>0.252823901397222</v>
      </c>
      <c r="S533" s="4" t="s">
        <v>35</v>
      </c>
    </row>
    <row r="534" customFormat="false" ht="14.25" hidden="false" customHeight="true" outlineLevel="0" collapsed="false">
      <c r="A534" s="3" t="s">
        <v>195</v>
      </c>
      <c r="B534" s="4" t="s">
        <v>705</v>
      </c>
      <c r="C534" s="4" t="s">
        <v>732</v>
      </c>
      <c r="D534" s="4" t="s">
        <v>103</v>
      </c>
      <c r="E534" s="3" t="s">
        <v>109</v>
      </c>
      <c r="F534" s="3" t="n">
        <v>856</v>
      </c>
      <c r="G534" s="4" t="s">
        <v>104</v>
      </c>
      <c r="H534" s="5" t="n">
        <v>180000</v>
      </c>
      <c r="I534" s="3" t="s">
        <v>55</v>
      </c>
      <c r="J534" s="6" t="n">
        <v>510</v>
      </c>
      <c r="K534" s="6" t="n">
        <v>332</v>
      </c>
      <c r="L534" s="7" t="n">
        <f aca="false">K534*1.35582</f>
        <v>450.13224</v>
      </c>
      <c r="M534" s="6" t="n">
        <v>2646</v>
      </c>
      <c r="N534" s="7" t="n">
        <f aca="false">M534*0.453592</f>
        <v>1200.204432</v>
      </c>
      <c r="O534" s="3" t="s">
        <v>26</v>
      </c>
      <c r="P534" s="3" t="s">
        <v>67</v>
      </c>
      <c r="Q534" s="8" t="n">
        <f aca="false">J534/M534</f>
        <v>0.192743764172336</v>
      </c>
      <c r="R534" s="8" t="n">
        <f aca="false">J534/N534</f>
        <v>0.424927609332474</v>
      </c>
      <c r="S534" s="4" t="s">
        <v>35</v>
      </c>
    </row>
    <row r="535" customFormat="false" ht="14.25" hidden="false" customHeight="true" outlineLevel="0" collapsed="false">
      <c r="A535" s="3" t="s">
        <v>100</v>
      </c>
      <c r="B535" s="4" t="s">
        <v>705</v>
      </c>
      <c r="C535" s="4" t="s">
        <v>733</v>
      </c>
      <c r="D535" s="4" t="s">
        <v>349</v>
      </c>
      <c r="E535" s="3" t="s">
        <v>39</v>
      </c>
      <c r="F535" s="3" t="n">
        <v>528</v>
      </c>
      <c r="G535" s="4" t="s">
        <v>104</v>
      </c>
      <c r="H535" s="5" t="n">
        <v>250000</v>
      </c>
      <c r="I535" s="3" t="s">
        <v>55</v>
      </c>
      <c r="J535" s="6" t="n">
        <v>360</v>
      </c>
      <c r="K535" s="6" t="n">
        <v>442</v>
      </c>
      <c r="L535" s="7" t="n">
        <f aca="false">K535*1.35582</f>
        <v>599.27244</v>
      </c>
      <c r="M535" s="6" t="n">
        <v>3899</v>
      </c>
      <c r="N535" s="7" t="n">
        <f aca="false">M535*0.453592</f>
        <v>1768.555208</v>
      </c>
      <c r="O535" s="3" t="s">
        <v>62</v>
      </c>
      <c r="P535" s="3" t="s">
        <v>27</v>
      </c>
      <c r="Q535" s="8" t="n">
        <f aca="false">J535/M535</f>
        <v>0.0923313670171839</v>
      </c>
      <c r="R535" s="8" t="n">
        <f aca="false">J535/N535</f>
        <v>0.203555986475035</v>
      </c>
      <c r="S535" s="4" t="s">
        <v>35</v>
      </c>
    </row>
    <row r="536" customFormat="false" ht="14.25" hidden="false" customHeight="true" outlineLevel="0" collapsed="false">
      <c r="A536" s="3" t="s">
        <v>51</v>
      </c>
      <c r="B536" s="4" t="s">
        <v>705</v>
      </c>
      <c r="C536" s="4" t="s">
        <v>734</v>
      </c>
      <c r="D536" s="4" t="s">
        <v>103</v>
      </c>
      <c r="E536" s="3" t="s">
        <v>109</v>
      </c>
      <c r="F536" s="3" t="n">
        <v>865</v>
      </c>
      <c r="G536" s="4" t="s">
        <v>104</v>
      </c>
      <c r="H536" s="5" t="n">
        <v>5000000</v>
      </c>
      <c r="I536" s="3" t="s">
        <v>66</v>
      </c>
      <c r="J536" s="6" t="n">
        <v>671</v>
      </c>
      <c r="K536" s="6" t="n">
        <v>741</v>
      </c>
      <c r="L536" s="7" t="n">
        <f aca="false">K536*1.35582</f>
        <v>1004.66262</v>
      </c>
      <c r="M536" s="6" t="n">
        <v>3307</v>
      </c>
      <c r="N536" s="7" t="n">
        <f aca="false">M536*0.453592</f>
        <v>1500.028744</v>
      </c>
      <c r="O536" s="3" t="s">
        <v>62</v>
      </c>
      <c r="P536" s="3" t="s">
        <v>67</v>
      </c>
      <c r="Q536" s="8" t="n">
        <f aca="false">J536/M536</f>
        <v>0.202902933172059</v>
      </c>
      <c r="R536" s="8" t="n">
        <f aca="false">J536/N536</f>
        <v>0.447324761398039</v>
      </c>
      <c r="S536" s="4" t="s">
        <v>35</v>
      </c>
    </row>
    <row r="537" customFormat="false" ht="14.25" hidden="false" customHeight="true" outlineLevel="0" collapsed="false">
      <c r="A537" s="3" t="s">
        <v>141</v>
      </c>
      <c r="B537" s="4" t="s">
        <v>705</v>
      </c>
      <c r="C537" s="4" t="s">
        <v>735</v>
      </c>
      <c r="D537" s="4" t="s">
        <v>78</v>
      </c>
      <c r="E537" s="3" t="s">
        <v>54</v>
      </c>
      <c r="F537" s="3" t="n">
        <v>725</v>
      </c>
      <c r="G537" s="4" t="s">
        <v>104</v>
      </c>
      <c r="H537" s="5" t="n">
        <v>200000</v>
      </c>
      <c r="I537" s="3" t="s">
        <v>33</v>
      </c>
      <c r="J537" s="6" t="n">
        <v>752</v>
      </c>
      <c r="K537" s="6" t="n">
        <v>774</v>
      </c>
      <c r="L537" s="7" t="n">
        <f aca="false">K537*1.35582</f>
        <v>1049.40468</v>
      </c>
      <c r="M537" s="6" t="n">
        <v>5121</v>
      </c>
      <c r="N537" s="7" t="n">
        <f aca="false">M537*0.453592</f>
        <v>2322.844632</v>
      </c>
      <c r="O537" s="3" t="s">
        <v>62</v>
      </c>
      <c r="P537" s="3" t="s">
        <v>34</v>
      </c>
      <c r="Q537" s="8" t="n">
        <f aca="false">J537/M537</f>
        <v>0.146846319078305</v>
      </c>
      <c r="R537" s="8" t="n">
        <f aca="false">J537/N537</f>
        <v>0.32374098105413</v>
      </c>
      <c r="S537" s="4" t="s">
        <v>35</v>
      </c>
    </row>
    <row r="538" customFormat="false" ht="14.25" hidden="false" customHeight="true" outlineLevel="0" collapsed="false">
      <c r="A538" s="3" t="s">
        <v>94</v>
      </c>
      <c r="B538" s="4" t="s">
        <v>736</v>
      </c>
      <c r="C538" s="4" t="s">
        <v>737</v>
      </c>
      <c r="D538" s="4" t="s">
        <v>103</v>
      </c>
      <c r="E538" s="3" t="s">
        <v>109</v>
      </c>
      <c r="F538" s="3" t="n">
        <v>842</v>
      </c>
      <c r="G538" s="4" t="s">
        <v>110</v>
      </c>
      <c r="H538" s="5" t="n">
        <v>147000</v>
      </c>
      <c r="I538" s="3" t="s">
        <v>55</v>
      </c>
      <c r="J538" s="6" t="n">
        <v>454</v>
      </c>
      <c r="K538" s="6" t="n">
        <v>500</v>
      </c>
      <c r="L538" s="7" t="n">
        <f aca="false">K538*1.35582</f>
        <v>677.91</v>
      </c>
      <c r="M538" s="6" t="n">
        <v>2072</v>
      </c>
      <c r="N538" s="7" t="n">
        <f aca="false">M538*0.453592</f>
        <v>939.842624</v>
      </c>
      <c r="O538" s="3" t="s">
        <v>26</v>
      </c>
      <c r="P538" s="3" t="s">
        <v>67</v>
      </c>
      <c r="Q538" s="8" t="n">
        <f aca="false">J538/M538</f>
        <v>0.219111969111969</v>
      </c>
      <c r="R538" s="8" t="n">
        <f aca="false">J538/N538</f>
        <v>0.483059597858801</v>
      </c>
      <c r="S538" s="4" t="s">
        <v>35</v>
      </c>
    </row>
    <row r="539" customFormat="false" ht="14.25" hidden="false" customHeight="true" outlineLevel="0" collapsed="false">
      <c r="A539" s="3" t="s">
        <v>207</v>
      </c>
      <c r="B539" s="4" t="s">
        <v>738</v>
      </c>
      <c r="C539" s="4" t="s">
        <v>739</v>
      </c>
      <c r="D539" s="4" t="s">
        <v>260</v>
      </c>
      <c r="E539" s="3" t="s">
        <v>39</v>
      </c>
      <c r="F539" s="3" t="n">
        <v>514</v>
      </c>
      <c r="G539" s="4" t="s">
        <v>46</v>
      </c>
      <c r="H539" s="5" t="n">
        <v>100000</v>
      </c>
      <c r="I539" s="3" t="s">
        <v>33</v>
      </c>
      <c r="J539" s="6" t="n">
        <v>702</v>
      </c>
      <c r="K539" s="6" t="n">
        <v>650</v>
      </c>
      <c r="L539" s="7" t="n">
        <f aca="false">K539*1.35582</f>
        <v>881.283</v>
      </c>
      <c r="M539" s="6" t="n">
        <v>6443</v>
      </c>
      <c r="N539" s="7" t="n">
        <f aca="false">M539*0.453592</f>
        <v>2922.493256</v>
      </c>
      <c r="O539" s="3" t="s">
        <v>62</v>
      </c>
      <c r="P539" s="3" t="s">
        <v>27</v>
      </c>
      <c r="Q539" s="8" t="n">
        <f aca="false">J539/M539</f>
        <v>0.108955455533137</v>
      </c>
      <c r="R539" s="8" t="n">
        <f aca="false">J539/N539</f>
        <v>0.240205857980601</v>
      </c>
      <c r="S539" s="4" t="s">
        <v>63</v>
      </c>
    </row>
    <row r="540" customFormat="false" ht="14.25" hidden="false" customHeight="true" outlineLevel="0" collapsed="false">
      <c r="A540" s="3" t="s">
        <v>258</v>
      </c>
      <c r="B540" s="4" t="s">
        <v>740</v>
      </c>
      <c r="C540" s="4" t="s">
        <v>741</v>
      </c>
      <c r="D540" s="4" t="s">
        <v>254</v>
      </c>
      <c r="E540" s="3" t="s">
        <v>32</v>
      </c>
      <c r="F540" s="3" t="n">
        <v>100</v>
      </c>
      <c r="G540" s="4" t="s">
        <v>110</v>
      </c>
      <c r="H540" s="5" t="n">
        <v>39000</v>
      </c>
      <c r="I540" s="3" t="s">
        <v>33</v>
      </c>
      <c r="J540" s="6" t="n">
        <v>32</v>
      </c>
      <c r="K540" s="6" t="n">
        <v>38</v>
      </c>
      <c r="L540" s="7" t="n">
        <f aca="false">K540*1.35582</f>
        <v>51.52116</v>
      </c>
      <c r="M540" s="6" t="n">
        <v>1004</v>
      </c>
      <c r="N540" s="7" t="n">
        <f aca="false">M540*0.453592</f>
        <v>455.406368</v>
      </c>
      <c r="O540" s="3" t="s">
        <v>26</v>
      </c>
      <c r="P540" s="3" t="s">
        <v>27</v>
      </c>
      <c r="Q540" s="8" t="n">
        <f aca="false">J540/M540</f>
        <v>0.0318725099601594</v>
      </c>
      <c r="R540" s="8" t="n">
        <f aca="false">J540/N540</f>
        <v>0.070266913790718</v>
      </c>
      <c r="S540" s="4" t="s">
        <v>35</v>
      </c>
    </row>
    <row r="541" customFormat="false" ht="14.25" hidden="false" customHeight="true" outlineLevel="0" collapsed="false">
      <c r="A541" s="3" t="s">
        <v>40</v>
      </c>
      <c r="B541" s="4" t="s">
        <v>742</v>
      </c>
      <c r="C541" s="4" t="s">
        <v>743</v>
      </c>
      <c r="D541" s="4" t="s">
        <v>158</v>
      </c>
      <c r="E541" s="3" t="s">
        <v>23</v>
      </c>
      <c r="F541" s="3" t="n">
        <v>417</v>
      </c>
      <c r="G541" s="4" t="s">
        <v>691</v>
      </c>
      <c r="H541" s="5" t="n">
        <v>143000</v>
      </c>
      <c r="I541" s="3" t="s">
        <v>25</v>
      </c>
      <c r="J541" s="6" t="n">
        <v>156</v>
      </c>
      <c r="K541" s="6" t="n">
        <v>163</v>
      </c>
      <c r="L541" s="7" t="n">
        <f aca="false">K541*1.35582</f>
        <v>220.99866</v>
      </c>
      <c r="M541" s="6" t="n">
        <v>2138</v>
      </c>
      <c r="N541" s="7" t="n">
        <f aca="false">M541*0.453592</f>
        <v>969.779696</v>
      </c>
      <c r="O541" s="3" t="s">
        <v>26</v>
      </c>
      <c r="P541" s="3" t="s">
        <v>67</v>
      </c>
      <c r="Q541" s="8" t="n">
        <f aca="false">J541/M541</f>
        <v>0.0729653882132834</v>
      </c>
      <c r="R541" s="8" t="n">
        <f aca="false">J541/N541</f>
        <v>0.160861276683194</v>
      </c>
      <c r="S541" s="4" t="s">
        <v>35</v>
      </c>
    </row>
    <row r="542" customFormat="false" ht="14.25" hidden="false" customHeight="true" outlineLevel="0" collapsed="false">
      <c r="A542" s="3" t="s">
        <v>247</v>
      </c>
      <c r="B542" s="4" t="s">
        <v>742</v>
      </c>
      <c r="C542" s="4" t="s">
        <v>744</v>
      </c>
      <c r="D542" s="4" t="s">
        <v>42</v>
      </c>
      <c r="E542" s="3" t="s">
        <v>32</v>
      </c>
      <c r="F542" s="3" t="n">
        <v>322</v>
      </c>
      <c r="G542" s="4" t="s">
        <v>691</v>
      </c>
      <c r="H542" s="5" t="n">
        <v>250000</v>
      </c>
      <c r="I542" s="3" t="s">
        <v>33</v>
      </c>
      <c r="J542" s="6" t="n">
        <v>103</v>
      </c>
      <c r="K542" s="6" t="n">
        <v>86</v>
      </c>
      <c r="L542" s="7" t="n">
        <f aca="false">K542*1.35582</f>
        <v>116.60052</v>
      </c>
      <c r="M542" s="6" t="n">
        <v>1885</v>
      </c>
      <c r="N542" s="7" t="n">
        <f aca="false">M542*0.453592</f>
        <v>855.02092</v>
      </c>
      <c r="O542" s="3"/>
      <c r="P542" s="3"/>
      <c r="Q542" s="8" t="n">
        <f aca="false">J542/M542</f>
        <v>0.0546419098143236</v>
      </c>
      <c r="R542" s="8" t="n">
        <f aca="false">J542/N542</f>
        <v>0.120464888742137</v>
      </c>
      <c r="S542" s="4" t="s">
        <v>28</v>
      </c>
    </row>
    <row r="543" customFormat="false" ht="14.25" hidden="false" customHeight="true" outlineLevel="0" collapsed="false">
      <c r="A543" s="3" t="s">
        <v>164</v>
      </c>
      <c r="B543" s="4" t="s">
        <v>742</v>
      </c>
      <c r="C543" s="4" t="s">
        <v>745</v>
      </c>
      <c r="D543" s="4" t="s">
        <v>50</v>
      </c>
      <c r="E543" s="3" t="s">
        <v>32</v>
      </c>
      <c r="F543" s="3" t="n">
        <v>400</v>
      </c>
      <c r="G543" s="4" t="s">
        <v>691</v>
      </c>
      <c r="H543" s="5" t="n">
        <v>30000</v>
      </c>
      <c r="I543" s="3" t="s">
        <v>33</v>
      </c>
      <c r="J543" s="6" t="n">
        <v>142</v>
      </c>
      <c r="K543" s="6" t="n">
        <v>129</v>
      </c>
      <c r="L543" s="7" t="n">
        <f aca="false">K543*1.35582</f>
        <v>174.90078</v>
      </c>
      <c r="M543" s="6" t="n">
        <v>2233</v>
      </c>
      <c r="N543" s="7" t="n">
        <f aca="false">M543*0.453592</f>
        <v>1012.870936</v>
      </c>
      <c r="O543" s="3" t="s">
        <v>47</v>
      </c>
      <c r="P543" s="3" t="s">
        <v>27</v>
      </c>
      <c r="Q543" s="8" t="n">
        <f aca="false">J543/M543</f>
        <v>0.0635915808329601</v>
      </c>
      <c r="R543" s="8" t="n">
        <f aca="false">J543/N543</f>
        <v>0.140195552022435</v>
      </c>
      <c r="S543" s="4" t="s">
        <v>35</v>
      </c>
    </row>
    <row r="544" customFormat="false" ht="14.25" hidden="false" customHeight="true" outlineLevel="0" collapsed="false">
      <c r="A544" s="3" t="s">
        <v>100</v>
      </c>
      <c r="B544" s="4" t="s">
        <v>742</v>
      </c>
      <c r="C544" s="4" t="s">
        <v>746</v>
      </c>
      <c r="D544" s="4" t="s">
        <v>147</v>
      </c>
      <c r="E544" s="3" t="s">
        <v>39</v>
      </c>
      <c r="F544" s="3" t="n">
        <v>547</v>
      </c>
      <c r="G544" s="4" t="s">
        <v>691</v>
      </c>
      <c r="H544" s="5" t="n">
        <v>32000</v>
      </c>
      <c r="I544" s="3" t="s">
        <v>25</v>
      </c>
      <c r="J544" s="6" t="n">
        <v>275</v>
      </c>
      <c r="K544" s="6" t="n">
        <v>287</v>
      </c>
      <c r="L544" s="7" t="n">
        <f aca="false">K544*1.35582</f>
        <v>389.12034</v>
      </c>
      <c r="M544" s="6" t="n">
        <v>3153</v>
      </c>
      <c r="N544" s="7" t="n">
        <f aca="false">M544*0.453592</f>
        <v>1430.175576</v>
      </c>
      <c r="O544" s="3" t="s">
        <v>47</v>
      </c>
      <c r="P544" s="3" t="s">
        <v>27</v>
      </c>
      <c r="Q544" s="8" t="n">
        <f aca="false">J544/M544</f>
        <v>0.0872185220424992</v>
      </c>
      <c r="R544" s="8" t="n">
        <f aca="false">J544/N544</f>
        <v>0.192284083587231</v>
      </c>
      <c r="S544" s="4" t="s">
        <v>35</v>
      </c>
    </row>
    <row r="545" customFormat="false" ht="14.25" hidden="false" customHeight="true" outlineLevel="0" collapsed="false">
      <c r="A545" s="3" t="s">
        <v>196</v>
      </c>
      <c r="B545" s="4" t="s">
        <v>742</v>
      </c>
      <c r="C545" s="4" t="s">
        <v>747</v>
      </c>
      <c r="D545" s="4" t="s">
        <v>38</v>
      </c>
      <c r="E545" s="3" t="s">
        <v>39</v>
      </c>
      <c r="F545" s="3" t="n">
        <v>561</v>
      </c>
      <c r="G545" s="4" t="s">
        <v>691</v>
      </c>
      <c r="H545" s="5" t="n">
        <v>58000</v>
      </c>
      <c r="I545" s="3" t="s">
        <v>25</v>
      </c>
      <c r="J545" s="6" t="n">
        <v>227</v>
      </c>
      <c r="K545" s="6" t="n">
        <v>228</v>
      </c>
      <c r="L545" s="7" t="n">
        <f aca="false">K545*1.35582</f>
        <v>309.12696</v>
      </c>
      <c r="M545" s="6" t="n">
        <v>2712</v>
      </c>
      <c r="N545" s="7" t="n">
        <f aca="false">M545*0.453592</f>
        <v>1230.141504</v>
      </c>
      <c r="O545" s="3" t="s">
        <v>47</v>
      </c>
      <c r="P545" s="3" t="s">
        <v>27</v>
      </c>
      <c r="Q545" s="8" t="n">
        <f aca="false">J545/M545</f>
        <v>0.0837020648967552</v>
      </c>
      <c r="R545" s="8" t="n">
        <f aca="false">J545/N545</f>
        <v>0.184531616291194</v>
      </c>
      <c r="S545" s="4" t="s">
        <v>35</v>
      </c>
    </row>
    <row r="546" customFormat="false" ht="14.25" hidden="false" customHeight="true" outlineLevel="0" collapsed="false">
      <c r="A546" s="3" t="s">
        <v>159</v>
      </c>
      <c r="B546" s="4" t="s">
        <v>742</v>
      </c>
      <c r="C546" s="4" t="s">
        <v>748</v>
      </c>
      <c r="D546" s="4" t="s">
        <v>147</v>
      </c>
      <c r="E546" s="3" t="s">
        <v>39</v>
      </c>
      <c r="F546" s="3" t="n">
        <v>538</v>
      </c>
      <c r="G546" s="4" t="s">
        <v>691</v>
      </c>
      <c r="H546" s="5" t="n">
        <v>14000</v>
      </c>
      <c r="I546" s="3" t="s">
        <v>33</v>
      </c>
      <c r="J546" s="6" t="n">
        <v>250</v>
      </c>
      <c r="K546" s="6" t="n">
        <v>251</v>
      </c>
      <c r="L546" s="7" t="n">
        <f aca="false">K546*1.35582</f>
        <v>340.31082</v>
      </c>
      <c r="M546" s="6" t="n">
        <v>3058</v>
      </c>
      <c r="N546" s="7" t="n">
        <f aca="false">M546*0.453592</f>
        <v>1387.084336</v>
      </c>
      <c r="O546" s="3" t="s">
        <v>47</v>
      </c>
      <c r="P546" s="3" t="s">
        <v>27</v>
      </c>
      <c r="Q546" s="8" t="n">
        <f aca="false">J546/M546</f>
        <v>0.0817527795945062</v>
      </c>
      <c r="R546" s="8" t="n">
        <f aca="false">J546/N546</f>
        <v>0.18023417431195</v>
      </c>
      <c r="S546" s="4" t="s">
        <v>35</v>
      </c>
    </row>
    <row r="547" customFormat="false" ht="14.25" hidden="false" customHeight="true" outlineLevel="0" collapsed="false">
      <c r="A547" s="3" t="s">
        <v>76</v>
      </c>
      <c r="B547" s="4" t="s">
        <v>749</v>
      </c>
      <c r="C547" s="4" t="s">
        <v>750</v>
      </c>
      <c r="D547" s="4" t="s">
        <v>126</v>
      </c>
      <c r="E547" s="3" t="s">
        <v>88</v>
      </c>
      <c r="F547" s="3" t="n">
        <v>913</v>
      </c>
      <c r="G547" s="4" t="s">
        <v>751</v>
      </c>
      <c r="H547" s="5" t="n">
        <v>2250000</v>
      </c>
      <c r="I547" s="3" t="s">
        <v>66</v>
      </c>
      <c r="J547" s="6" t="n">
        <v>1893</v>
      </c>
      <c r="K547" s="6" t="n">
        <v>1739</v>
      </c>
      <c r="L547" s="7" t="n">
        <f aca="false">K547*1.35582</f>
        <v>2357.77098</v>
      </c>
      <c r="M547" s="6" t="n">
        <v>4740</v>
      </c>
      <c r="N547" s="7" t="n">
        <f aca="false">M547*0.453592</f>
        <v>2150.02608</v>
      </c>
      <c r="O547" s="3"/>
      <c r="P547" s="3"/>
      <c r="Q547" s="8" t="n">
        <f aca="false">J547/M547</f>
        <v>0.399367088607595</v>
      </c>
      <c r="R547" s="8" t="n">
        <f aca="false">J547/N547</f>
        <v>0.880454436162002</v>
      </c>
      <c r="S547" s="4" t="s">
        <v>105</v>
      </c>
    </row>
    <row r="548" customFormat="false" ht="14.25" hidden="false" customHeight="true" outlineLevel="0" collapsed="false">
      <c r="A548" s="3" t="s">
        <v>76</v>
      </c>
      <c r="B548" s="4" t="s">
        <v>752</v>
      </c>
      <c r="C548" s="4" t="s">
        <v>753</v>
      </c>
      <c r="D548" s="4" t="s">
        <v>260</v>
      </c>
      <c r="E548" s="3" t="s">
        <v>70</v>
      </c>
      <c r="F548" s="3" t="n">
        <v>607</v>
      </c>
      <c r="G548" s="4" t="s">
        <v>46</v>
      </c>
      <c r="H548" s="5" t="n">
        <v>56000</v>
      </c>
      <c r="I548" s="3" t="s">
        <v>55</v>
      </c>
      <c r="J548" s="6" t="n">
        <v>835</v>
      </c>
      <c r="K548" s="6" t="n">
        <v>908</v>
      </c>
      <c r="L548" s="7" t="n">
        <f aca="false">K548*1.35582</f>
        <v>1231.08456</v>
      </c>
      <c r="M548" s="6" t="n">
        <v>6936</v>
      </c>
      <c r="N548" s="7" t="n">
        <f aca="false">M548*0.453592</f>
        <v>3146.114112</v>
      </c>
      <c r="O548" s="3" t="s">
        <v>62</v>
      </c>
      <c r="P548" s="3" t="s">
        <v>27</v>
      </c>
      <c r="Q548" s="8" t="n">
        <f aca="false">J548/M548</f>
        <v>0.120386389850058</v>
      </c>
      <c r="R548" s="8" t="n">
        <f aca="false">J548/N548</f>
        <v>0.265406774921202</v>
      </c>
      <c r="S548" s="4" t="s">
        <v>35</v>
      </c>
    </row>
    <row r="549" customFormat="false" ht="14.25" hidden="false" customHeight="true" outlineLevel="0" collapsed="false">
      <c r="A549" s="3" t="s">
        <v>36</v>
      </c>
      <c r="B549" s="4" t="s">
        <v>754</v>
      </c>
      <c r="C549" s="4" t="s">
        <v>755</v>
      </c>
      <c r="D549" s="4" t="s">
        <v>93</v>
      </c>
      <c r="E549" s="3" t="s">
        <v>70</v>
      </c>
      <c r="F549" s="3" t="n">
        <v>674</v>
      </c>
      <c r="G549" s="4" t="s">
        <v>46</v>
      </c>
      <c r="H549" s="5" t="n">
        <v>120000</v>
      </c>
      <c r="I549" s="3" t="s">
        <v>55</v>
      </c>
      <c r="J549" s="6" t="n">
        <v>850</v>
      </c>
      <c r="K549" s="6" t="n">
        <v>640</v>
      </c>
      <c r="L549" s="7" t="n">
        <f aca="false">K549*1.35582</f>
        <v>867.7248</v>
      </c>
      <c r="M549" s="6" t="n">
        <v>3750</v>
      </c>
      <c r="N549" s="7" t="n">
        <f aca="false">M549*0.453592</f>
        <v>1700.97</v>
      </c>
      <c r="O549" s="3" t="s">
        <v>26</v>
      </c>
      <c r="P549" s="3" t="s">
        <v>27</v>
      </c>
      <c r="Q549" s="8" t="n">
        <f aca="false">J549/M549</f>
        <v>0.226666666666667</v>
      </c>
      <c r="R549" s="8" t="n">
        <f aca="false">J549/N549</f>
        <v>0.49971486857499</v>
      </c>
      <c r="S549" s="4" t="s">
        <v>99</v>
      </c>
    </row>
    <row r="550" customFormat="false" ht="14.25" hidden="false" customHeight="true" outlineLevel="0" collapsed="false">
      <c r="A550" s="3" t="s">
        <v>76</v>
      </c>
      <c r="B550" s="4" t="s">
        <v>754</v>
      </c>
      <c r="C550" s="4" t="s">
        <v>756</v>
      </c>
      <c r="D550" s="4" t="s">
        <v>93</v>
      </c>
      <c r="E550" s="3" t="s">
        <v>70</v>
      </c>
      <c r="F550" s="3" t="n">
        <v>677</v>
      </c>
      <c r="G550" s="4" t="s">
        <v>46</v>
      </c>
      <c r="H550" s="5"/>
      <c r="I550" s="3"/>
      <c r="J550" s="6" t="n">
        <v>846</v>
      </c>
      <c r="K550" s="6" t="n">
        <v>642</v>
      </c>
      <c r="L550" s="7" t="n">
        <f aca="false">K550*1.35582</f>
        <v>870.43644</v>
      </c>
      <c r="M550" s="6" t="n">
        <v>4329</v>
      </c>
      <c r="N550" s="7" t="n">
        <f aca="false">M550*0.453592</f>
        <v>1963.599768</v>
      </c>
      <c r="O550" s="3"/>
      <c r="P550" s="3"/>
      <c r="Q550" s="8" t="n">
        <f aca="false">J550/M550</f>
        <v>0.195426195426195</v>
      </c>
      <c r="R550" s="8" t="n">
        <f aca="false">J550/N550</f>
        <v>0.430841362780198</v>
      </c>
      <c r="S550" s="4" t="s">
        <v>105</v>
      </c>
    </row>
    <row r="551" customFormat="false" ht="14.25" hidden="false" customHeight="true" outlineLevel="0" collapsed="false">
      <c r="A551" s="3" t="s">
        <v>19</v>
      </c>
      <c r="B551" s="4" t="s">
        <v>757</v>
      </c>
      <c r="C551" s="4" t="s">
        <v>758</v>
      </c>
      <c r="D551" s="4" t="s">
        <v>103</v>
      </c>
      <c r="E551" s="3" t="s">
        <v>109</v>
      </c>
      <c r="F551" s="3" t="n">
        <v>835</v>
      </c>
      <c r="G551" s="4" t="s">
        <v>46</v>
      </c>
      <c r="H551" s="5" t="n">
        <v>1000000</v>
      </c>
      <c r="I551" s="3" t="s">
        <v>55</v>
      </c>
      <c r="J551" s="6" t="n">
        <v>1000</v>
      </c>
      <c r="K551" s="6" t="n">
        <v>850</v>
      </c>
      <c r="L551" s="7" t="n">
        <f aca="false">K551*1.35582</f>
        <v>1152.447</v>
      </c>
      <c r="M551" s="6" t="n">
        <v>2950</v>
      </c>
      <c r="N551" s="7" t="n">
        <f aca="false">M551*0.453592</f>
        <v>1338.0964</v>
      </c>
      <c r="O551" s="3"/>
      <c r="P551" s="3"/>
      <c r="Q551" s="8" t="n">
        <f aca="false">J551/M551</f>
        <v>0.338983050847458</v>
      </c>
      <c r="R551" s="8" t="n">
        <f aca="false">J551/N551</f>
        <v>0.747330311926704</v>
      </c>
      <c r="S551" s="4" t="s">
        <v>28</v>
      </c>
    </row>
    <row r="552" customFormat="false" ht="14.25" hidden="false" customHeight="true" outlineLevel="0" collapsed="false">
      <c r="A552" s="3" t="s">
        <v>164</v>
      </c>
      <c r="B552" s="4" t="s">
        <v>759</v>
      </c>
      <c r="C552" s="4" t="s">
        <v>760</v>
      </c>
      <c r="D552" s="4" t="s">
        <v>186</v>
      </c>
      <c r="E552" s="3" t="s">
        <v>54</v>
      </c>
      <c r="F552" s="3" t="n">
        <v>764</v>
      </c>
      <c r="G552" s="4" t="s">
        <v>110</v>
      </c>
      <c r="H552" s="5" t="n">
        <v>1950000</v>
      </c>
      <c r="I552" s="3" t="s">
        <v>55</v>
      </c>
      <c r="J552" s="6" t="n">
        <v>600</v>
      </c>
      <c r="K552" s="6" t="n">
        <v>479</v>
      </c>
      <c r="L552" s="7" t="n">
        <f aca="false">K552*1.35582</f>
        <v>649.43778</v>
      </c>
      <c r="M552" s="6" t="n">
        <v>2315</v>
      </c>
      <c r="N552" s="7" t="n">
        <f aca="false">M552*0.453592</f>
        <v>1050.06548</v>
      </c>
      <c r="O552" s="3"/>
      <c r="P552" s="3"/>
      <c r="Q552" s="8" t="n">
        <f aca="false">J552/M552</f>
        <v>0.259179265658747</v>
      </c>
      <c r="R552" s="8" t="n">
        <f aca="false">J552/N552</f>
        <v>0.571392938276573</v>
      </c>
      <c r="S552" s="4" t="s">
        <v>28</v>
      </c>
    </row>
    <row r="553" customFormat="false" ht="14.25" hidden="false" customHeight="true" outlineLevel="0" collapsed="false">
      <c r="A553" s="3" t="s">
        <v>80</v>
      </c>
      <c r="B553" s="4" t="s">
        <v>761</v>
      </c>
      <c r="C553" s="4" t="s">
        <v>762</v>
      </c>
      <c r="D553" s="4" t="s">
        <v>82</v>
      </c>
      <c r="E553" s="3" t="s">
        <v>39</v>
      </c>
      <c r="F553" s="3" t="n">
        <v>582</v>
      </c>
      <c r="G553" s="4" t="s">
        <v>46</v>
      </c>
      <c r="H553" s="5"/>
      <c r="I553" s="3"/>
      <c r="J553" s="6" t="n">
        <v>425</v>
      </c>
      <c r="K553" s="6" t="n">
        <v>500</v>
      </c>
      <c r="L553" s="7" t="n">
        <f aca="false">K553*1.35582</f>
        <v>677.91</v>
      </c>
      <c r="M553" s="6" t="n">
        <v>2350</v>
      </c>
      <c r="N553" s="7" t="n">
        <f aca="false">M553*0.453592</f>
        <v>1065.9412</v>
      </c>
      <c r="O553" s="3"/>
      <c r="P553" s="3"/>
      <c r="Q553" s="8" t="n">
        <f aca="false">J553/M553</f>
        <v>0.180851063829787</v>
      </c>
      <c r="R553" s="8" t="n">
        <f aca="false">J553/N553</f>
        <v>0.398708671735364</v>
      </c>
      <c r="S553" s="4" t="s">
        <v>84</v>
      </c>
    </row>
    <row r="554" customFormat="false" ht="14.25" hidden="false" customHeight="true" outlineLevel="0" collapsed="false">
      <c r="A554" s="3" t="s">
        <v>80</v>
      </c>
      <c r="B554" s="4" t="s">
        <v>761</v>
      </c>
      <c r="C554" s="4" t="s">
        <v>763</v>
      </c>
      <c r="D554" s="4" t="s">
        <v>65</v>
      </c>
      <c r="E554" s="3" t="s">
        <v>39</v>
      </c>
      <c r="F554" s="3" t="n">
        <v>515</v>
      </c>
      <c r="G554" s="4" t="s">
        <v>46</v>
      </c>
      <c r="H554" s="5" t="n">
        <v>20000000</v>
      </c>
      <c r="I554" s="3" t="s">
        <v>66</v>
      </c>
      <c r="J554" s="6" t="n">
        <v>390</v>
      </c>
      <c r="K554" s="6" t="n">
        <v>341</v>
      </c>
      <c r="L554" s="7" t="n">
        <f aca="false">K554*1.35582</f>
        <v>462.33462</v>
      </c>
      <c r="M554" s="6" t="n">
        <v>2300</v>
      </c>
      <c r="N554" s="7" t="n">
        <f aca="false">M554*0.453592</f>
        <v>1043.2616</v>
      </c>
      <c r="O554" s="3" t="s">
        <v>26</v>
      </c>
      <c r="P554" s="3" t="s">
        <v>27</v>
      </c>
      <c r="Q554" s="8" t="n">
        <f aca="false">J554/M554</f>
        <v>0.169565217391304</v>
      </c>
      <c r="R554" s="8" t="n">
        <f aca="false">J554/N554</f>
        <v>0.373827619074641</v>
      </c>
      <c r="S554" s="4" t="s">
        <v>35</v>
      </c>
    </row>
    <row r="555" customFormat="false" ht="14.25" hidden="false" customHeight="true" outlineLevel="0" collapsed="false">
      <c r="A555" s="3" t="s">
        <v>141</v>
      </c>
      <c r="B555" s="4" t="s">
        <v>764</v>
      </c>
      <c r="C555" s="4" t="s">
        <v>765</v>
      </c>
      <c r="D555" s="4" t="s">
        <v>103</v>
      </c>
      <c r="E555" s="3" t="s">
        <v>88</v>
      </c>
      <c r="F555" s="3" t="n">
        <v>926</v>
      </c>
      <c r="G555" s="4" t="s">
        <v>46</v>
      </c>
      <c r="H555" s="5" t="n">
        <v>65000</v>
      </c>
      <c r="I555" s="3" t="s">
        <v>55</v>
      </c>
      <c r="J555" s="6" t="n">
        <v>600</v>
      </c>
      <c r="K555" s="6" t="n">
        <v>287</v>
      </c>
      <c r="L555" s="7" t="n">
        <f aca="false">K555*1.35582</f>
        <v>389.12034</v>
      </c>
      <c r="M555" s="6" t="n">
        <v>1150</v>
      </c>
      <c r="N555" s="7" t="n">
        <f aca="false">M555*0.453592</f>
        <v>521.6308</v>
      </c>
      <c r="O555" s="3" t="s">
        <v>26</v>
      </c>
      <c r="P555" s="3" t="s">
        <v>67</v>
      </c>
      <c r="Q555" s="8" t="n">
        <f aca="false">J555/M555</f>
        <v>0.521739130434783</v>
      </c>
      <c r="R555" s="8" t="n">
        <f aca="false">J555/N555</f>
        <v>1.15023882792197</v>
      </c>
      <c r="S555" s="4" t="s">
        <v>35</v>
      </c>
    </row>
    <row r="556" customFormat="false" ht="14.25" hidden="false" customHeight="true" outlineLevel="0" collapsed="false">
      <c r="A556" s="3" t="s">
        <v>76</v>
      </c>
      <c r="B556" s="4" t="s">
        <v>764</v>
      </c>
      <c r="C556" s="4" t="s">
        <v>766</v>
      </c>
      <c r="D556" s="4" t="s">
        <v>224</v>
      </c>
      <c r="E556" s="3" t="s">
        <v>32</v>
      </c>
      <c r="F556" s="3" t="n">
        <v>346</v>
      </c>
      <c r="G556" s="4" t="s">
        <v>46</v>
      </c>
      <c r="H556" s="5" t="n">
        <v>75000</v>
      </c>
      <c r="I556" s="3" t="s">
        <v>25</v>
      </c>
      <c r="J556" s="6" t="n">
        <v>50</v>
      </c>
      <c r="K556" s="6" t="n">
        <v>43</v>
      </c>
      <c r="L556" s="7" t="n">
        <f aca="false">K556*1.35582</f>
        <v>58.30026</v>
      </c>
      <c r="M556" s="6" t="n">
        <v>805</v>
      </c>
      <c r="N556" s="7" t="n">
        <f aca="false">M556*0.453592</f>
        <v>365.14156</v>
      </c>
      <c r="O556" s="3" t="s">
        <v>26</v>
      </c>
      <c r="P556" s="3" t="s">
        <v>67</v>
      </c>
      <c r="Q556" s="8" t="n">
        <f aca="false">J556/M556</f>
        <v>0.062111801242236</v>
      </c>
      <c r="R556" s="8" t="n">
        <f aca="false">J556/N556</f>
        <v>0.136933193800235</v>
      </c>
      <c r="S556" s="4" t="s">
        <v>35</v>
      </c>
    </row>
    <row r="557" customFormat="false" ht="14.25" hidden="false" customHeight="true" outlineLevel="0" collapsed="false">
      <c r="A557" s="3" t="s">
        <v>76</v>
      </c>
      <c r="B557" s="4" t="s">
        <v>764</v>
      </c>
      <c r="C557" s="4" t="s">
        <v>767</v>
      </c>
      <c r="D557" s="4" t="s">
        <v>224</v>
      </c>
      <c r="E557" s="3" t="s">
        <v>70</v>
      </c>
      <c r="F557" s="3" t="n">
        <v>635</v>
      </c>
      <c r="G557" s="4" t="s">
        <v>46</v>
      </c>
      <c r="H557" s="5" t="n">
        <v>50000</v>
      </c>
      <c r="I557" s="3" t="s">
        <v>25</v>
      </c>
      <c r="J557" s="6" t="n">
        <v>194</v>
      </c>
      <c r="K557" s="6" t="n">
        <v>114</v>
      </c>
      <c r="L557" s="7" t="n">
        <f aca="false">K557*1.35582</f>
        <v>154.56348</v>
      </c>
      <c r="M557" s="6" t="n">
        <v>925</v>
      </c>
      <c r="N557" s="7" t="n">
        <f aca="false">M557*0.453592</f>
        <v>419.5726</v>
      </c>
      <c r="O557" s="3" t="s">
        <v>26</v>
      </c>
      <c r="P557" s="3" t="s">
        <v>67</v>
      </c>
      <c r="Q557" s="8" t="n">
        <f aca="false">J557/M557</f>
        <v>0.20972972972973</v>
      </c>
      <c r="R557" s="8" t="n">
        <f aca="false">J557/N557</f>
        <v>0.462375283800706</v>
      </c>
      <c r="S557" s="4" t="s">
        <v>35</v>
      </c>
    </row>
    <row r="558" customFormat="false" ht="14.25" hidden="false" customHeight="true" outlineLevel="0" collapsed="false">
      <c r="A558" s="3" t="s">
        <v>106</v>
      </c>
      <c r="B558" s="4" t="s">
        <v>768</v>
      </c>
      <c r="C558" s="4" t="s">
        <v>769</v>
      </c>
      <c r="D558" s="4" t="s">
        <v>217</v>
      </c>
      <c r="E558" s="3" t="s">
        <v>54</v>
      </c>
      <c r="F558" s="3" t="n">
        <v>707</v>
      </c>
      <c r="G558" s="4" t="s">
        <v>46</v>
      </c>
      <c r="H558" s="5" t="n">
        <v>135000</v>
      </c>
      <c r="I558" s="3" t="s">
        <v>25</v>
      </c>
      <c r="J558" s="6" t="n">
        <v>640</v>
      </c>
      <c r="K558" s="6" t="n">
        <v>600</v>
      </c>
      <c r="L558" s="7" t="n">
        <f aca="false">K558*1.35582</f>
        <v>813.492</v>
      </c>
      <c r="M558" s="6" t="n">
        <v>3296</v>
      </c>
      <c r="N558" s="7" t="n">
        <f aca="false">M558*0.453592</f>
        <v>1495.039232</v>
      </c>
      <c r="O558" s="3" t="s">
        <v>26</v>
      </c>
      <c r="P558" s="3" t="s">
        <v>27</v>
      </c>
      <c r="Q558" s="8" t="n">
        <f aca="false">J558/M558</f>
        <v>0.194174757281553</v>
      </c>
      <c r="R558" s="8" t="n">
        <f aca="false">J558/N558</f>
        <v>0.42808241168617</v>
      </c>
      <c r="S558" s="4" t="s">
        <v>131</v>
      </c>
    </row>
    <row r="559" customFormat="false" ht="14.25" hidden="false" customHeight="true" outlineLevel="0" collapsed="false">
      <c r="A559" s="3" t="s">
        <v>40</v>
      </c>
      <c r="B559" s="4" t="s">
        <v>770</v>
      </c>
      <c r="C559" s="4" t="s">
        <v>771</v>
      </c>
      <c r="D559" s="4" t="s">
        <v>254</v>
      </c>
      <c r="E559" s="3" t="s">
        <v>32</v>
      </c>
      <c r="F559" s="3" t="n">
        <v>159</v>
      </c>
      <c r="G559" s="4" t="s">
        <v>168</v>
      </c>
      <c r="H559" s="5" t="n">
        <v>20000</v>
      </c>
      <c r="I559" s="3" t="s">
        <v>33</v>
      </c>
      <c r="J559" s="6" t="n">
        <v>69</v>
      </c>
      <c r="K559" s="6" t="n">
        <v>84</v>
      </c>
      <c r="L559" s="7" t="n">
        <f aca="false">K559*1.35582</f>
        <v>113.88888</v>
      </c>
      <c r="M559" s="6" t="n">
        <v>2061</v>
      </c>
      <c r="N559" s="7" t="n">
        <f aca="false">M559*0.453592</f>
        <v>934.853112</v>
      </c>
      <c r="O559" s="3" t="s">
        <v>62</v>
      </c>
      <c r="P559" s="3" t="s">
        <v>27</v>
      </c>
      <c r="Q559" s="8" t="n">
        <f aca="false">J559/M559</f>
        <v>0.0334788937409025</v>
      </c>
      <c r="R559" s="8" t="n">
        <f aca="false">J559/N559</f>
        <v>0.0738083867019314</v>
      </c>
      <c r="S559" s="4" t="s">
        <v>35</v>
      </c>
    </row>
    <row r="560" customFormat="false" ht="14.25" hidden="false" customHeight="true" outlineLevel="0" collapsed="false">
      <c r="A560" s="3" t="s">
        <v>106</v>
      </c>
      <c r="B560" s="4" t="s">
        <v>770</v>
      </c>
      <c r="C560" s="4" t="s">
        <v>772</v>
      </c>
      <c r="D560" s="4" t="s">
        <v>22</v>
      </c>
      <c r="E560" s="3" t="s">
        <v>23</v>
      </c>
      <c r="F560" s="3" t="n">
        <v>463</v>
      </c>
      <c r="G560" s="4" t="s">
        <v>168</v>
      </c>
      <c r="H560" s="5" t="n">
        <v>25000</v>
      </c>
      <c r="I560" s="3" t="s">
        <v>33</v>
      </c>
      <c r="J560" s="6" t="n">
        <v>200</v>
      </c>
      <c r="K560" s="6" t="n">
        <v>151</v>
      </c>
      <c r="L560" s="7" t="n">
        <f aca="false">K560*1.35582</f>
        <v>204.72882</v>
      </c>
      <c r="M560" s="6" t="n">
        <v>2764</v>
      </c>
      <c r="N560" s="7" t="n">
        <f aca="false">M560*0.453592</f>
        <v>1253.728288</v>
      </c>
      <c r="O560" s="3" t="s">
        <v>26</v>
      </c>
      <c r="P560" s="3" t="s">
        <v>27</v>
      </c>
      <c r="Q560" s="8" t="n">
        <f aca="false">J560/M560</f>
        <v>0.0723589001447178</v>
      </c>
      <c r="R560" s="8" t="n">
        <f aca="false">J560/N560</f>
        <v>0.159524198276684</v>
      </c>
      <c r="S560" s="4" t="s">
        <v>35</v>
      </c>
    </row>
    <row r="561" customFormat="false" ht="14.25" hidden="false" customHeight="true" outlineLevel="0" collapsed="false">
      <c r="A561" s="3" t="s">
        <v>51</v>
      </c>
      <c r="B561" s="4" t="s">
        <v>770</v>
      </c>
      <c r="C561" s="4" t="s">
        <v>772</v>
      </c>
      <c r="D561" s="4" t="s">
        <v>22</v>
      </c>
      <c r="E561" s="3" t="s">
        <v>39</v>
      </c>
      <c r="F561" s="3" t="n">
        <v>551</v>
      </c>
      <c r="G561" s="4" t="s">
        <v>168</v>
      </c>
      <c r="H561" s="5" t="n">
        <v>28000</v>
      </c>
      <c r="I561" s="3" t="s">
        <v>55</v>
      </c>
      <c r="J561" s="6" t="n">
        <v>228</v>
      </c>
      <c r="K561" s="6" t="n">
        <v>184</v>
      </c>
      <c r="L561" s="7" t="n">
        <f aca="false">K561*1.35582</f>
        <v>249.47088</v>
      </c>
      <c r="M561" s="6" t="n">
        <v>2835</v>
      </c>
      <c r="N561" s="7" t="n">
        <f aca="false">M561*0.453592</f>
        <v>1285.93332</v>
      </c>
      <c r="O561" s="3" t="s">
        <v>26</v>
      </c>
      <c r="P561" s="3" t="s">
        <v>27</v>
      </c>
      <c r="Q561" s="8" t="n">
        <f aca="false">J561/M561</f>
        <v>0.0804232804232804</v>
      </c>
      <c r="R561" s="8" t="n">
        <f aca="false">J561/N561</f>
        <v>0.177303127972452</v>
      </c>
      <c r="S561" s="4" t="s">
        <v>35</v>
      </c>
    </row>
    <row r="562" customFormat="false" ht="14.25" hidden="false" customHeight="true" outlineLevel="0" collapsed="false">
      <c r="A562" s="3" t="s">
        <v>51</v>
      </c>
      <c r="B562" s="4" t="s">
        <v>770</v>
      </c>
      <c r="C562" s="4" t="s">
        <v>773</v>
      </c>
      <c r="D562" s="4" t="s">
        <v>93</v>
      </c>
      <c r="E562" s="3" t="s">
        <v>70</v>
      </c>
      <c r="F562" s="3" t="n">
        <v>700</v>
      </c>
      <c r="G562" s="4" t="s">
        <v>168</v>
      </c>
      <c r="H562" s="5" t="n">
        <v>500000</v>
      </c>
      <c r="I562" s="3" t="s">
        <v>296</v>
      </c>
      <c r="J562" s="6" t="n">
        <v>658</v>
      </c>
      <c r="K562" s="6" t="n">
        <v>659</v>
      </c>
      <c r="L562" s="7" t="n">
        <f aca="false">K562*1.35582</f>
        <v>893.48538</v>
      </c>
      <c r="M562" s="6" t="n">
        <v>3986</v>
      </c>
      <c r="N562" s="7" t="n">
        <f aca="false">M562*0.453592</f>
        <v>1808.017712</v>
      </c>
      <c r="O562" s="3"/>
      <c r="P562" s="3"/>
      <c r="Q562" s="8" t="n">
        <f aca="false">J562/M562</f>
        <v>0.165077772202709</v>
      </c>
      <c r="R562" s="8" t="n">
        <f aca="false">J562/N562</f>
        <v>0.363934487827628</v>
      </c>
      <c r="S562" s="4" t="s">
        <v>559</v>
      </c>
    </row>
    <row r="563" customFormat="false" ht="14.25" hidden="false" customHeight="true" outlineLevel="0" collapsed="false">
      <c r="A563" s="3" t="s">
        <v>598</v>
      </c>
      <c r="B563" s="4" t="s">
        <v>770</v>
      </c>
      <c r="C563" s="4" t="s">
        <v>774</v>
      </c>
      <c r="D563" s="4" t="s">
        <v>158</v>
      </c>
      <c r="E563" s="3" t="s">
        <v>39</v>
      </c>
      <c r="F563" s="3" t="n">
        <v>600</v>
      </c>
      <c r="G563" s="4" t="s">
        <v>168</v>
      </c>
      <c r="H563" s="5" t="n">
        <v>86000</v>
      </c>
      <c r="I563" s="3" t="s">
        <v>66</v>
      </c>
      <c r="J563" s="6" t="n">
        <v>276</v>
      </c>
      <c r="K563" s="6" t="n">
        <v>265</v>
      </c>
      <c r="L563" s="7" t="n">
        <f aca="false">K563*1.35582</f>
        <v>359.2923</v>
      </c>
      <c r="M563" s="6" t="n">
        <v>2800</v>
      </c>
      <c r="N563" s="7" t="n">
        <f aca="false">M563*0.453592</f>
        <v>1270.0576</v>
      </c>
      <c r="O563" s="3" t="s">
        <v>62</v>
      </c>
      <c r="P563" s="3" t="s">
        <v>27</v>
      </c>
      <c r="Q563" s="8" t="n">
        <f aca="false">J563/M563</f>
        <v>0.0985714285714286</v>
      </c>
      <c r="R563" s="8" t="n">
        <f aca="false">J563/N563</f>
        <v>0.217312978560972</v>
      </c>
      <c r="S563" s="4" t="s">
        <v>35</v>
      </c>
    </row>
    <row r="564" customFormat="false" ht="14.25" hidden="false" customHeight="true" outlineLevel="0" collapsed="false">
      <c r="A564" s="3" t="s">
        <v>431</v>
      </c>
      <c r="B564" s="4" t="s">
        <v>770</v>
      </c>
      <c r="C564" s="4" t="s">
        <v>775</v>
      </c>
      <c r="D564" s="4" t="s">
        <v>627</v>
      </c>
      <c r="E564" s="3" t="s">
        <v>39</v>
      </c>
      <c r="F564" s="3" t="n">
        <v>552</v>
      </c>
      <c r="G564" s="4" t="s">
        <v>168</v>
      </c>
      <c r="H564" s="5" t="n">
        <v>30000</v>
      </c>
      <c r="I564" s="3" t="s">
        <v>33</v>
      </c>
      <c r="J564" s="6" t="n">
        <v>278</v>
      </c>
      <c r="K564" s="6" t="n">
        <v>290</v>
      </c>
      <c r="L564" s="7" t="n">
        <f aca="false">K564*1.35582</f>
        <v>393.1878</v>
      </c>
      <c r="M564" s="6" t="n">
        <v>3270</v>
      </c>
      <c r="N564" s="7" t="n">
        <f aca="false">M564*0.453592</f>
        <v>1483.24584</v>
      </c>
      <c r="O564" s="3" t="s">
        <v>62</v>
      </c>
      <c r="P564" s="3" t="s">
        <v>27</v>
      </c>
      <c r="Q564" s="8" t="n">
        <f aca="false">J564/M564</f>
        <v>0.0850152905198777</v>
      </c>
      <c r="R564" s="8" t="n">
        <f aca="false">J564/N564</f>
        <v>0.187426785569141</v>
      </c>
      <c r="S564" s="4" t="s">
        <v>35</v>
      </c>
    </row>
    <row r="565" customFormat="false" ht="14.25" hidden="false" customHeight="true" outlineLevel="0" collapsed="false">
      <c r="A565" s="3" t="s">
        <v>195</v>
      </c>
      <c r="B565" s="4" t="s">
        <v>770</v>
      </c>
      <c r="C565" s="4" t="s">
        <v>775</v>
      </c>
      <c r="D565" s="4" t="s">
        <v>627</v>
      </c>
      <c r="E565" s="3" t="s">
        <v>39</v>
      </c>
      <c r="F565" s="3" t="n">
        <v>570</v>
      </c>
      <c r="G565" s="4" t="s">
        <v>168</v>
      </c>
      <c r="H565" s="5" t="n">
        <v>35000</v>
      </c>
      <c r="I565" s="3" t="s">
        <v>33</v>
      </c>
      <c r="J565" s="6" t="n">
        <v>311</v>
      </c>
      <c r="K565" s="6" t="n">
        <v>311</v>
      </c>
      <c r="L565" s="7" t="n">
        <f aca="false">K565*1.35582</f>
        <v>421.66002</v>
      </c>
      <c r="M565" s="6" t="n">
        <v>3315</v>
      </c>
      <c r="N565" s="7" t="n">
        <f aca="false">M565*0.453592</f>
        <v>1503.65748</v>
      </c>
      <c r="O565" s="3" t="s">
        <v>62</v>
      </c>
      <c r="P565" s="3" t="s">
        <v>27</v>
      </c>
      <c r="Q565" s="8" t="n">
        <f aca="false">J565/M565</f>
        <v>0.093815987933635</v>
      </c>
      <c r="R565" s="8" t="n">
        <f aca="false">J565/N565</f>
        <v>0.206829018002158</v>
      </c>
      <c r="S565" s="4" t="s">
        <v>35</v>
      </c>
    </row>
    <row r="566" customFormat="false" ht="14.25" hidden="false" customHeight="true" outlineLevel="0" collapsed="false">
      <c r="A566" s="3" t="s">
        <v>196</v>
      </c>
      <c r="B566" s="4" t="s">
        <v>770</v>
      </c>
      <c r="C566" s="4" t="s">
        <v>775</v>
      </c>
      <c r="D566" s="4" t="s">
        <v>627</v>
      </c>
      <c r="E566" s="3" t="s">
        <v>39</v>
      </c>
      <c r="F566" s="3" t="n">
        <v>539</v>
      </c>
      <c r="G566" s="4" t="s">
        <v>168</v>
      </c>
      <c r="H566" s="5" t="n">
        <v>27000</v>
      </c>
      <c r="I566" s="3" t="s">
        <v>25</v>
      </c>
      <c r="J566" s="6" t="n">
        <v>305</v>
      </c>
      <c r="K566" s="6" t="n">
        <v>335</v>
      </c>
      <c r="L566" s="7" t="n">
        <f aca="false">K566*1.35582</f>
        <v>454.1997</v>
      </c>
      <c r="M566" s="6" t="n">
        <v>3395</v>
      </c>
      <c r="N566" s="7" t="n">
        <f aca="false">M566*0.453592</f>
        <v>1539.94484</v>
      </c>
      <c r="O566" s="3" t="s">
        <v>62</v>
      </c>
      <c r="P566" s="3" t="s">
        <v>27</v>
      </c>
      <c r="Q566" s="8" t="n">
        <f aca="false">J566/M566</f>
        <v>0.0898379970544919</v>
      </c>
      <c r="R566" s="8" t="n">
        <f aca="false">J566/N566</f>
        <v>0.198059042166731</v>
      </c>
      <c r="S566" s="4" t="s">
        <v>35</v>
      </c>
    </row>
    <row r="567" customFormat="false" ht="14.25" hidden="false" customHeight="true" outlineLevel="0" collapsed="false">
      <c r="A567" s="3" t="s">
        <v>195</v>
      </c>
      <c r="B567" s="4" t="s">
        <v>770</v>
      </c>
      <c r="C567" s="4" t="s">
        <v>776</v>
      </c>
      <c r="D567" s="4" t="s">
        <v>61</v>
      </c>
      <c r="E567" s="3" t="s">
        <v>39</v>
      </c>
      <c r="F567" s="3" t="n">
        <v>549</v>
      </c>
      <c r="G567" s="4" t="s">
        <v>168</v>
      </c>
      <c r="H567" s="5" t="n">
        <v>10000</v>
      </c>
      <c r="I567" s="3" t="s">
        <v>33</v>
      </c>
      <c r="J567" s="6" t="n">
        <v>276</v>
      </c>
      <c r="K567" s="6" t="n">
        <v>253</v>
      </c>
      <c r="L567" s="7" t="n">
        <f aca="false">K567*1.35582</f>
        <v>343.02246</v>
      </c>
      <c r="M567" s="6" t="n">
        <v>3153</v>
      </c>
      <c r="N567" s="7" t="n">
        <f aca="false">M567*0.453592</f>
        <v>1430.175576</v>
      </c>
      <c r="O567" s="3" t="s">
        <v>62</v>
      </c>
      <c r="P567" s="3" t="s">
        <v>27</v>
      </c>
      <c r="Q567" s="8" t="n">
        <f aca="false">J567/M567</f>
        <v>0.0875356803044719</v>
      </c>
      <c r="R567" s="8" t="n">
        <f aca="false">J567/N567</f>
        <v>0.192983298436639</v>
      </c>
      <c r="S567" s="4" t="s">
        <v>35</v>
      </c>
    </row>
    <row r="568" customFormat="false" ht="14.25" hidden="false" customHeight="true" outlineLevel="0" collapsed="false">
      <c r="A568" s="3" t="s">
        <v>85</v>
      </c>
      <c r="B568" s="4" t="s">
        <v>770</v>
      </c>
      <c r="C568" s="4" t="s">
        <v>777</v>
      </c>
      <c r="D568" s="4" t="s">
        <v>158</v>
      </c>
      <c r="E568" s="3" t="s">
        <v>23</v>
      </c>
      <c r="F568" s="3" t="n">
        <v>406</v>
      </c>
      <c r="G568" s="4" t="s">
        <v>168</v>
      </c>
      <c r="H568" s="5" t="n">
        <v>15000</v>
      </c>
      <c r="I568" s="3" t="s">
        <v>33</v>
      </c>
      <c r="J568" s="6" t="n">
        <v>217</v>
      </c>
      <c r="K568" s="6" t="n">
        <v>199</v>
      </c>
      <c r="L568" s="7" t="n">
        <f aca="false">K568*1.35582</f>
        <v>269.80818</v>
      </c>
      <c r="M568" s="6" t="n">
        <v>2990</v>
      </c>
      <c r="N568" s="7" t="n">
        <f aca="false">M568*0.453592</f>
        <v>1356.24008</v>
      </c>
      <c r="O568" s="3" t="s">
        <v>62</v>
      </c>
      <c r="P568" s="3" t="s">
        <v>27</v>
      </c>
      <c r="Q568" s="8" t="n">
        <f aca="false">J568/M568</f>
        <v>0.0725752508361204</v>
      </c>
      <c r="R568" s="8" t="n">
        <f aca="false">J568/N568</f>
        <v>0.160001170294274</v>
      </c>
      <c r="S568" s="4" t="s">
        <v>35</v>
      </c>
    </row>
    <row r="569" customFormat="false" ht="14.25" hidden="false" customHeight="true" outlineLevel="0" collapsed="false">
      <c r="A569" s="3" t="s">
        <v>121</v>
      </c>
      <c r="B569" s="4" t="s">
        <v>770</v>
      </c>
      <c r="C569" s="4" t="s">
        <v>778</v>
      </c>
      <c r="D569" s="4" t="s">
        <v>627</v>
      </c>
      <c r="E569" s="3" t="s">
        <v>39</v>
      </c>
      <c r="F569" s="3" t="n">
        <v>574</v>
      </c>
      <c r="G569" s="4" t="s">
        <v>168</v>
      </c>
      <c r="H569" s="5" t="n">
        <v>250000</v>
      </c>
      <c r="I569" s="3" t="s">
        <v>33</v>
      </c>
      <c r="J569" s="6" t="n">
        <v>341</v>
      </c>
      <c r="K569" s="6" t="n">
        <v>330</v>
      </c>
      <c r="L569" s="7" t="n">
        <f aca="false">K569*1.35582</f>
        <v>447.4206</v>
      </c>
      <c r="M569" s="6" t="n">
        <v>3485</v>
      </c>
      <c r="N569" s="7" t="n">
        <f aca="false">M569*0.453592</f>
        <v>1580.76812</v>
      </c>
      <c r="O569" s="3"/>
      <c r="P569" s="3"/>
      <c r="Q569" s="8" t="n">
        <f aca="false">J569/M569</f>
        <v>0.0978479196556672</v>
      </c>
      <c r="R569" s="8" t="n">
        <f aca="false">J569/N569</f>
        <v>0.215717913137064</v>
      </c>
      <c r="S569" s="4" t="s">
        <v>28</v>
      </c>
    </row>
    <row r="570" customFormat="false" ht="14.25" hidden="false" customHeight="true" outlineLevel="0" collapsed="false">
      <c r="A570" s="3" t="s">
        <v>255</v>
      </c>
      <c r="B570" s="4" t="s">
        <v>770</v>
      </c>
      <c r="C570" s="4" t="s">
        <v>779</v>
      </c>
      <c r="D570" s="4" t="s">
        <v>120</v>
      </c>
      <c r="E570" s="3" t="s">
        <v>23</v>
      </c>
      <c r="F570" s="3" t="n">
        <v>466</v>
      </c>
      <c r="G570" s="4" t="s">
        <v>168</v>
      </c>
      <c r="H570" s="5" t="n">
        <v>13000</v>
      </c>
      <c r="I570" s="3" t="s">
        <v>33</v>
      </c>
      <c r="J570" s="6" t="n">
        <v>230</v>
      </c>
      <c r="K570" s="6" t="n">
        <v>228</v>
      </c>
      <c r="L570" s="7" t="n">
        <f aca="false">K570*1.35582</f>
        <v>309.12696</v>
      </c>
      <c r="M570" s="6" t="n">
        <v>3580</v>
      </c>
      <c r="N570" s="7" t="n">
        <f aca="false">M570*0.453592</f>
        <v>1623.85936</v>
      </c>
      <c r="O570" s="3" t="s">
        <v>62</v>
      </c>
      <c r="P570" s="3" t="s">
        <v>27</v>
      </c>
      <c r="Q570" s="8" t="n">
        <f aca="false">J570/M570</f>
        <v>0.0642458100558659</v>
      </c>
      <c r="R570" s="8" t="n">
        <f aca="false">J570/N570</f>
        <v>0.141637881743651</v>
      </c>
      <c r="S570" s="4" t="s">
        <v>35</v>
      </c>
    </row>
    <row r="571" customFormat="false" ht="14.25" hidden="false" customHeight="true" outlineLevel="0" collapsed="false">
      <c r="A571" s="3" t="s">
        <v>322</v>
      </c>
      <c r="B571" s="4" t="s">
        <v>770</v>
      </c>
      <c r="C571" s="4" t="s">
        <v>780</v>
      </c>
      <c r="D571" s="4" t="s">
        <v>167</v>
      </c>
      <c r="E571" s="3" t="s">
        <v>32</v>
      </c>
      <c r="F571" s="3" t="n">
        <v>281</v>
      </c>
      <c r="G571" s="4" t="s">
        <v>168</v>
      </c>
      <c r="H571" s="5" t="n">
        <v>10000</v>
      </c>
      <c r="I571" s="3" t="s">
        <v>55</v>
      </c>
      <c r="J571" s="6" t="n">
        <v>63</v>
      </c>
      <c r="K571" s="6" t="n">
        <v>65</v>
      </c>
      <c r="L571" s="7" t="n">
        <f aca="false">K571*1.35582</f>
        <v>88.1283</v>
      </c>
      <c r="M571" s="6" t="n">
        <v>1676</v>
      </c>
      <c r="N571" s="7" t="n">
        <f aca="false">M571*0.453592</f>
        <v>760.220192</v>
      </c>
      <c r="O571" s="3" t="s">
        <v>62</v>
      </c>
      <c r="P571" s="3" t="s">
        <v>27</v>
      </c>
      <c r="Q571" s="8" t="n">
        <f aca="false">J571/M571</f>
        <v>0.0375894988066826</v>
      </c>
      <c r="R571" s="8" t="n">
        <f aca="false">J571/N571</f>
        <v>0.0828707270116814</v>
      </c>
      <c r="S571" s="4" t="s">
        <v>35</v>
      </c>
    </row>
    <row r="572" customFormat="false" ht="14.25" hidden="false" customHeight="true" outlineLevel="0" collapsed="false">
      <c r="A572" s="3" t="s">
        <v>322</v>
      </c>
      <c r="B572" s="4" t="s">
        <v>770</v>
      </c>
      <c r="C572" s="4" t="s">
        <v>781</v>
      </c>
      <c r="D572" s="4" t="s">
        <v>103</v>
      </c>
      <c r="E572" s="3" t="s">
        <v>109</v>
      </c>
      <c r="F572" s="3" t="n">
        <v>900</v>
      </c>
      <c r="G572" s="4" t="s">
        <v>168</v>
      </c>
      <c r="H572" s="5"/>
      <c r="I572" s="3"/>
      <c r="J572" s="6" t="n">
        <v>476</v>
      </c>
      <c r="K572" s="6" t="n">
        <v>454</v>
      </c>
      <c r="L572" s="7" t="n">
        <f aca="false">K572*1.35582</f>
        <v>615.54228</v>
      </c>
      <c r="M572" s="6" t="n">
        <v>1598</v>
      </c>
      <c r="N572" s="7" t="n">
        <f aca="false">M572*0.453592</f>
        <v>724.840016</v>
      </c>
      <c r="O572" s="3"/>
      <c r="P572" s="3"/>
      <c r="Q572" s="8" t="n">
        <f aca="false">J572/M572</f>
        <v>0.297872340425532</v>
      </c>
      <c r="R572" s="8" t="n">
        <f aca="false">J572/N572</f>
        <v>0.656696635799423</v>
      </c>
      <c r="S572" s="4" t="s">
        <v>84</v>
      </c>
    </row>
    <row r="573" customFormat="false" ht="14.25" hidden="false" customHeight="true" outlineLevel="0" collapsed="false">
      <c r="A573" s="3" t="s">
        <v>51</v>
      </c>
      <c r="B573" s="4" t="s">
        <v>770</v>
      </c>
      <c r="C573" s="4" t="s">
        <v>782</v>
      </c>
      <c r="D573" s="4" t="s">
        <v>627</v>
      </c>
      <c r="E573" s="3" t="s">
        <v>39</v>
      </c>
      <c r="F573" s="3" t="n">
        <v>538</v>
      </c>
      <c r="G573" s="4" t="s">
        <v>168</v>
      </c>
      <c r="H573" s="5" t="n">
        <v>25000</v>
      </c>
      <c r="I573" s="3" t="s">
        <v>55</v>
      </c>
      <c r="J573" s="6" t="n">
        <v>271</v>
      </c>
      <c r="K573" s="6" t="n">
        <v>258</v>
      </c>
      <c r="L573" s="7" t="n">
        <f aca="false">K573*1.35582</f>
        <v>349.80156</v>
      </c>
      <c r="M573" s="6" t="n">
        <v>3297</v>
      </c>
      <c r="N573" s="7" t="n">
        <f aca="false">M573*0.453592</f>
        <v>1495.492824</v>
      </c>
      <c r="O573" s="3" t="s">
        <v>62</v>
      </c>
      <c r="P573" s="3" t="s">
        <v>27</v>
      </c>
      <c r="Q573" s="8" t="n">
        <f aca="false">J573/M573</f>
        <v>0.0821959356991204</v>
      </c>
      <c r="R573" s="8" t="n">
        <f aca="false">J573/N573</f>
        <v>0.181211167082136</v>
      </c>
      <c r="S573" s="4" t="s">
        <v>35</v>
      </c>
    </row>
    <row r="574" customFormat="false" ht="14.25" hidden="false" customHeight="true" outlineLevel="0" collapsed="false">
      <c r="A574" s="3" t="s">
        <v>145</v>
      </c>
      <c r="B574" s="4" t="s">
        <v>770</v>
      </c>
      <c r="C574" s="4" t="s">
        <v>783</v>
      </c>
      <c r="D574" s="4" t="s">
        <v>627</v>
      </c>
      <c r="E574" s="3" t="s">
        <v>39</v>
      </c>
      <c r="F574" s="3" t="n">
        <v>547</v>
      </c>
      <c r="G574" s="4" t="s">
        <v>168</v>
      </c>
      <c r="H574" s="5" t="n">
        <v>27000</v>
      </c>
      <c r="I574" s="3" t="s">
        <v>25</v>
      </c>
      <c r="J574" s="6" t="n">
        <v>305</v>
      </c>
      <c r="K574" s="6" t="n">
        <v>290</v>
      </c>
      <c r="L574" s="7" t="n">
        <f aca="false">K574*1.35582</f>
        <v>393.1878</v>
      </c>
      <c r="M574" s="6" t="n">
        <v>3384</v>
      </c>
      <c r="N574" s="7" t="n">
        <f aca="false">M574*0.453592</f>
        <v>1534.955328</v>
      </c>
      <c r="O574" s="3" t="s">
        <v>62</v>
      </c>
      <c r="P574" s="3" t="s">
        <v>27</v>
      </c>
      <c r="Q574" s="8" t="n">
        <f aca="false">J574/M574</f>
        <v>0.0901300236406619</v>
      </c>
      <c r="R574" s="8" t="n">
        <f aca="false">J574/N574</f>
        <v>0.198702851109944</v>
      </c>
      <c r="S574" s="4" t="s">
        <v>35</v>
      </c>
    </row>
    <row r="575" customFormat="false" ht="14.25" hidden="false" customHeight="true" outlineLevel="0" collapsed="false">
      <c r="A575" s="3" t="s">
        <v>94</v>
      </c>
      <c r="B575" s="4" t="s">
        <v>770</v>
      </c>
      <c r="C575" s="4" t="s">
        <v>783</v>
      </c>
      <c r="D575" s="4" t="s">
        <v>627</v>
      </c>
      <c r="E575" s="3" t="s">
        <v>39</v>
      </c>
      <c r="F575" s="3" t="n">
        <v>555</v>
      </c>
      <c r="G575" s="4" t="s">
        <v>168</v>
      </c>
      <c r="H575" s="5" t="n">
        <v>27000</v>
      </c>
      <c r="I575" s="3" t="s">
        <v>33</v>
      </c>
      <c r="J575" s="6" t="n">
        <v>305</v>
      </c>
      <c r="K575" s="6" t="n">
        <v>290</v>
      </c>
      <c r="L575" s="7" t="n">
        <f aca="false">K575*1.35582</f>
        <v>393.1878</v>
      </c>
      <c r="M575" s="6" t="n">
        <v>3386</v>
      </c>
      <c r="N575" s="7" t="n">
        <f aca="false">M575*0.453592</f>
        <v>1535.862512</v>
      </c>
      <c r="O575" s="3" t="s">
        <v>62</v>
      </c>
      <c r="P575" s="3" t="s">
        <v>27</v>
      </c>
      <c r="Q575" s="8" t="n">
        <f aca="false">J575/M575</f>
        <v>0.090076786769049</v>
      </c>
      <c r="R575" s="8" t="n">
        <f aca="false">J575/N575</f>
        <v>0.198585483802732</v>
      </c>
      <c r="S575" s="4" t="s">
        <v>35</v>
      </c>
    </row>
    <row r="576" customFormat="false" ht="14.25" hidden="false" customHeight="true" outlineLevel="0" collapsed="false">
      <c r="A576" s="3" t="s">
        <v>100</v>
      </c>
      <c r="B576" s="4" t="s">
        <v>770</v>
      </c>
      <c r="C576" s="4" t="s">
        <v>784</v>
      </c>
      <c r="D576" s="4" t="s">
        <v>136</v>
      </c>
      <c r="E576" s="3" t="s">
        <v>54</v>
      </c>
      <c r="F576" s="3" t="n">
        <v>757</v>
      </c>
      <c r="G576" s="4" t="s">
        <v>168</v>
      </c>
      <c r="H576" s="5" t="n">
        <v>150000</v>
      </c>
      <c r="I576" s="3" t="s">
        <v>55</v>
      </c>
      <c r="J576" s="6" t="n">
        <v>600</v>
      </c>
      <c r="K576" s="6" t="n">
        <v>479</v>
      </c>
      <c r="L576" s="7" t="n">
        <f aca="false">K576*1.35582</f>
        <v>649.43778</v>
      </c>
      <c r="M576" s="6" t="n">
        <v>2820</v>
      </c>
      <c r="N576" s="7" t="n">
        <f aca="false">M576*0.453592</f>
        <v>1279.12944</v>
      </c>
      <c r="O576" s="3"/>
      <c r="P576" s="3"/>
      <c r="Q576" s="8" t="n">
        <f aca="false">J576/M576</f>
        <v>0.212765957446809</v>
      </c>
      <c r="R576" s="8" t="n">
        <f aca="false">J576/N576</f>
        <v>0.469069025571017</v>
      </c>
      <c r="S576" s="4" t="s">
        <v>28</v>
      </c>
    </row>
    <row r="577" customFormat="false" ht="14.25" hidden="false" customHeight="true" outlineLevel="0" collapsed="false">
      <c r="A577" s="3" t="s">
        <v>164</v>
      </c>
      <c r="B577" s="4" t="s">
        <v>785</v>
      </c>
      <c r="C577" s="4" t="s">
        <v>786</v>
      </c>
      <c r="D577" s="4" t="s">
        <v>93</v>
      </c>
      <c r="E577" s="3" t="s">
        <v>39</v>
      </c>
      <c r="F577" s="3" t="n">
        <v>584</v>
      </c>
      <c r="G577" s="4" t="s">
        <v>168</v>
      </c>
      <c r="H577" s="5" t="n">
        <v>15000</v>
      </c>
      <c r="I577" s="3" t="s">
        <v>25</v>
      </c>
      <c r="J577" s="6" t="n">
        <v>360</v>
      </c>
      <c r="K577" s="6" t="n">
        <v>265</v>
      </c>
      <c r="L577" s="7" t="n">
        <f aca="false">K577*1.35582</f>
        <v>359.2923</v>
      </c>
      <c r="M577" s="6" t="n">
        <v>4000</v>
      </c>
      <c r="N577" s="7" t="n">
        <f aca="false">M577*0.453592</f>
        <v>1814.368</v>
      </c>
      <c r="O577" s="3" t="s">
        <v>26</v>
      </c>
      <c r="P577" s="3" t="s">
        <v>67</v>
      </c>
      <c r="Q577" s="8" t="n">
        <f aca="false">J577/M577</f>
        <v>0.09</v>
      </c>
      <c r="R577" s="8" t="n">
        <f aca="false">J577/N577</f>
        <v>0.19841619781654</v>
      </c>
      <c r="S577" s="4" t="s">
        <v>35</v>
      </c>
    </row>
    <row r="578" customFormat="false" ht="14.25" hidden="false" customHeight="true" outlineLevel="0" collapsed="false">
      <c r="A578" s="3" t="s">
        <v>233</v>
      </c>
      <c r="B578" s="4" t="s">
        <v>785</v>
      </c>
      <c r="C578" s="4" t="s">
        <v>787</v>
      </c>
      <c r="D578" s="4" t="s">
        <v>82</v>
      </c>
      <c r="E578" s="3" t="s">
        <v>32</v>
      </c>
      <c r="F578" s="3" t="n">
        <v>377</v>
      </c>
      <c r="G578" s="4" t="s">
        <v>168</v>
      </c>
      <c r="H578" s="5" t="n">
        <v>400000</v>
      </c>
      <c r="I578" s="3" t="s">
        <v>66</v>
      </c>
      <c r="J578" s="6" t="n">
        <v>150</v>
      </c>
      <c r="K578" s="6" t="n">
        <v>130</v>
      </c>
      <c r="L578" s="7" t="n">
        <f aca="false">K578*1.35582</f>
        <v>176.2566</v>
      </c>
      <c r="M578" s="6" t="n">
        <v>2550</v>
      </c>
      <c r="N578" s="7" t="n">
        <f aca="false">M578*0.453592</f>
        <v>1156.6596</v>
      </c>
      <c r="O578" s="3"/>
      <c r="P578" s="3"/>
      <c r="Q578" s="8" t="n">
        <f aca="false">J578/M578</f>
        <v>0.0588235294117647</v>
      </c>
      <c r="R578" s="8" t="n">
        <f aca="false">J578/N578</f>
        <v>0.129683789422575</v>
      </c>
      <c r="S578" s="4" t="s">
        <v>188</v>
      </c>
    </row>
    <row r="579" customFormat="false" ht="14.25" hidden="false" customHeight="true" outlineLevel="0" collapsed="false">
      <c r="A579" s="3" t="s">
        <v>121</v>
      </c>
      <c r="B579" s="4" t="s">
        <v>785</v>
      </c>
      <c r="C579" s="4" t="s">
        <v>788</v>
      </c>
      <c r="D579" s="4" t="s">
        <v>260</v>
      </c>
      <c r="E579" s="3" t="s">
        <v>23</v>
      </c>
      <c r="F579" s="3" t="n">
        <v>421</v>
      </c>
      <c r="G579" s="4" t="s">
        <v>168</v>
      </c>
      <c r="H579" s="5" t="n">
        <v>1000000</v>
      </c>
      <c r="I579" s="3" t="s">
        <v>447</v>
      </c>
      <c r="J579" s="6" t="n">
        <v>270</v>
      </c>
      <c r="K579" s="6" t="n">
        <v>278</v>
      </c>
      <c r="L579" s="7" t="n">
        <f aca="false">K579*1.35582</f>
        <v>376.91796</v>
      </c>
      <c r="M579" s="6" t="n">
        <v>4750</v>
      </c>
      <c r="N579" s="7" t="n">
        <f aca="false">M579*0.453592</f>
        <v>2154.562</v>
      </c>
      <c r="O579" s="3" t="s">
        <v>62</v>
      </c>
      <c r="P579" s="3" t="s">
        <v>27</v>
      </c>
      <c r="Q579" s="8" t="n">
        <f aca="false">J579/M579</f>
        <v>0.0568421052631579</v>
      </c>
      <c r="R579" s="8" t="n">
        <f aca="false">J579/N579</f>
        <v>0.125315493357815</v>
      </c>
      <c r="S579" s="4" t="s">
        <v>35</v>
      </c>
    </row>
    <row r="580" customFormat="false" ht="14.25" hidden="false" customHeight="true" outlineLevel="0" collapsed="false">
      <c r="A580" s="3" t="s">
        <v>106</v>
      </c>
      <c r="B580" s="4" t="s">
        <v>785</v>
      </c>
      <c r="C580" s="4" t="s">
        <v>789</v>
      </c>
      <c r="D580" s="4" t="s">
        <v>22</v>
      </c>
      <c r="E580" s="3" t="s">
        <v>23</v>
      </c>
      <c r="F580" s="3" t="n">
        <v>460</v>
      </c>
      <c r="G580" s="4" t="s">
        <v>168</v>
      </c>
      <c r="H580" s="5" t="n">
        <v>42000</v>
      </c>
      <c r="I580" s="3" t="s">
        <v>25</v>
      </c>
      <c r="J580" s="6" t="n">
        <v>197</v>
      </c>
      <c r="K580" s="6" t="n">
        <v>151</v>
      </c>
      <c r="L580" s="7" t="n">
        <f aca="false">K580*1.35582</f>
        <v>204.72882</v>
      </c>
      <c r="M580" s="6" t="n">
        <v>2734</v>
      </c>
      <c r="N580" s="7" t="n">
        <f aca="false">M580*0.453592</f>
        <v>1240.120528</v>
      </c>
      <c r="O580" s="3" t="s">
        <v>26</v>
      </c>
      <c r="P580" s="3" t="s">
        <v>27</v>
      </c>
      <c r="Q580" s="8" t="n">
        <f aca="false">J580/M580</f>
        <v>0.0720555961960498</v>
      </c>
      <c r="R580" s="8" t="n">
        <f aca="false">J580/N580</f>
        <v>0.158855526984713</v>
      </c>
      <c r="S580" s="4" t="s">
        <v>35</v>
      </c>
    </row>
    <row r="581" customFormat="false" ht="14.25" hidden="false" customHeight="true" outlineLevel="0" collapsed="false">
      <c r="A581" s="3" t="s">
        <v>106</v>
      </c>
      <c r="B581" s="4" t="s">
        <v>785</v>
      </c>
      <c r="C581" s="4" t="s">
        <v>790</v>
      </c>
      <c r="D581" s="4" t="s">
        <v>171</v>
      </c>
      <c r="E581" s="3" t="s">
        <v>70</v>
      </c>
      <c r="F581" s="3" t="n">
        <v>685</v>
      </c>
      <c r="G581" s="4" t="s">
        <v>168</v>
      </c>
      <c r="H581" s="5"/>
      <c r="I581" s="3"/>
      <c r="J581" s="6" t="n">
        <v>404</v>
      </c>
      <c r="K581" s="6" t="n">
        <v>307</v>
      </c>
      <c r="L581" s="7" t="n">
        <f aca="false">K581*1.35582</f>
        <v>416.23674</v>
      </c>
      <c r="M581" s="6" t="n">
        <v>2729</v>
      </c>
      <c r="N581" s="7" t="n">
        <f aca="false">M581*0.453592</f>
        <v>1237.852568</v>
      </c>
      <c r="O581" s="3"/>
      <c r="P581" s="3"/>
      <c r="Q581" s="8" t="n">
        <f aca="false">J581/M581</f>
        <v>0.148039574935874</v>
      </c>
      <c r="R581" s="8" t="n">
        <f aca="false">J581/N581</f>
        <v>0.326371662057254</v>
      </c>
      <c r="S581" s="4" t="s">
        <v>84</v>
      </c>
    </row>
    <row r="582" customFormat="false" ht="14.25" hidden="false" customHeight="true" outlineLevel="0" collapsed="false">
      <c r="A582" s="3" t="s">
        <v>293</v>
      </c>
      <c r="B582" s="4" t="s">
        <v>785</v>
      </c>
      <c r="C582" s="4" t="s">
        <v>791</v>
      </c>
      <c r="D582" s="4" t="s">
        <v>61</v>
      </c>
      <c r="E582" s="3" t="s">
        <v>23</v>
      </c>
      <c r="F582" s="3" t="n">
        <v>461</v>
      </c>
      <c r="G582" s="4" t="s">
        <v>168</v>
      </c>
      <c r="H582" s="5" t="n">
        <v>250000</v>
      </c>
      <c r="I582" s="3" t="s">
        <v>25</v>
      </c>
      <c r="J582" s="6" t="n">
        <v>208</v>
      </c>
      <c r="K582" s="6" t="n">
        <v>159</v>
      </c>
      <c r="L582" s="7" t="n">
        <f aca="false">K582*1.35582</f>
        <v>215.57538</v>
      </c>
      <c r="M582" s="6" t="n">
        <v>2998</v>
      </c>
      <c r="N582" s="7" t="n">
        <f aca="false">M582*0.453592</f>
        <v>1359.868816</v>
      </c>
      <c r="O582" s="3"/>
      <c r="P582" s="3"/>
      <c r="Q582" s="8" t="n">
        <f aca="false">J582/M582</f>
        <v>0.0693795863909273</v>
      </c>
      <c r="R582" s="8" t="n">
        <f aca="false">J582/N582</f>
        <v>0.152955930419688</v>
      </c>
      <c r="S582" s="4" t="s">
        <v>28</v>
      </c>
    </row>
    <row r="583" customFormat="false" ht="14.25" hidden="false" customHeight="true" outlineLevel="0" collapsed="false">
      <c r="A583" s="3" t="s">
        <v>43</v>
      </c>
      <c r="B583" s="4" t="s">
        <v>785</v>
      </c>
      <c r="C583" s="4" t="s">
        <v>792</v>
      </c>
      <c r="D583" s="4" t="s">
        <v>78</v>
      </c>
      <c r="E583" s="3" t="s">
        <v>39</v>
      </c>
      <c r="F583" s="3" t="n">
        <v>525</v>
      </c>
      <c r="G583" s="4" t="s">
        <v>168</v>
      </c>
      <c r="H583" s="5" t="n">
        <v>31000</v>
      </c>
      <c r="I583" s="3" t="s">
        <v>55</v>
      </c>
      <c r="J583" s="6" t="n">
        <v>301</v>
      </c>
      <c r="K583" s="6" t="n">
        <v>267</v>
      </c>
      <c r="L583" s="7" t="n">
        <f aca="false">K583*1.35582</f>
        <v>362.00394</v>
      </c>
      <c r="M583" s="6" t="n">
        <v>3575</v>
      </c>
      <c r="N583" s="7" t="n">
        <f aca="false">M583*0.453592</f>
        <v>1621.5914</v>
      </c>
      <c r="O583" s="3" t="s">
        <v>47</v>
      </c>
      <c r="P583" s="3" t="s">
        <v>27</v>
      </c>
      <c r="Q583" s="8" t="n">
        <f aca="false">J583/M583</f>
        <v>0.0841958041958042</v>
      </c>
      <c r="R583" s="8" t="n">
        <f aca="false">J583/N583</f>
        <v>0.185620126007082</v>
      </c>
      <c r="S583" s="4" t="s">
        <v>63</v>
      </c>
    </row>
    <row r="584" customFormat="false" ht="14.25" hidden="false" customHeight="true" outlineLevel="0" collapsed="false">
      <c r="A584" s="3" t="s">
        <v>437</v>
      </c>
      <c r="B584" s="4" t="s">
        <v>785</v>
      </c>
      <c r="C584" s="4" t="s">
        <v>793</v>
      </c>
      <c r="D584" s="4" t="s">
        <v>163</v>
      </c>
      <c r="E584" s="3" t="s">
        <v>32</v>
      </c>
      <c r="F584" s="3" t="n">
        <v>287</v>
      </c>
      <c r="G584" s="4" t="s">
        <v>168</v>
      </c>
      <c r="H584" s="5"/>
      <c r="I584" s="3"/>
      <c r="J584" s="6"/>
      <c r="K584" s="6"/>
      <c r="L584" s="7"/>
      <c r="M584" s="6"/>
      <c r="N584" s="7"/>
      <c r="O584" s="3"/>
      <c r="P584" s="3"/>
      <c r="Q584" s="8"/>
      <c r="R584" s="8"/>
      <c r="S584" s="4" t="s">
        <v>28</v>
      </c>
    </row>
    <row r="585" customFormat="false" ht="14.25" hidden="false" customHeight="true" outlineLevel="0" collapsed="false">
      <c r="A585" s="3" t="s">
        <v>58</v>
      </c>
      <c r="B585" s="4" t="s">
        <v>785</v>
      </c>
      <c r="C585" s="4" t="s">
        <v>794</v>
      </c>
      <c r="D585" s="4" t="s">
        <v>158</v>
      </c>
      <c r="E585" s="3" t="s">
        <v>23</v>
      </c>
      <c r="F585" s="3" t="n">
        <v>438</v>
      </c>
      <c r="G585" s="4" t="s">
        <v>168</v>
      </c>
      <c r="H585" s="5" t="n">
        <v>30000</v>
      </c>
      <c r="I585" s="3" t="s">
        <v>25</v>
      </c>
      <c r="J585" s="6" t="n">
        <v>232</v>
      </c>
      <c r="K585" s="6" t="n">
        <v>224</v>
      </c>
      <c r="L585" s="7" t="n">
        <f aca="false">K585*1.35582</f>
        <v>303.70368</v>
      </c>
      <c r="M585" s="6" t="n">
        <v>3219</v>
      </c>
      <c r="N585" s="7" t="n">
        <f aca="false">M585*0.453592</f>
        <v>1460.112648</v>
      </c>
      <c r="O585" s="3" t="s">
        <v>62</v>
      </c>
      <c r="P585" s="3" t="s">
        <v>27</v>
      </c>
      <c r="Q585" s="8" t="n">
        <f aca="false">J585/M585</f>
        <v>0.0720720720720721</v>
      </c>
      <c r="R585" s="8" t="n">
        <f aca="false">J585/N585</f>
        <v>0.158891850103335</v>
      </c>
      <c r="S585" s="4" t="s">
        <v>63</v>
      </c>
    </row>
    <row r="586" customFormat="false" ht="14.25" hidden="false" customHeight="true" outlineLevel="0" collapsed="false">
      <c r="A586" s="3" t="s">
        <v>322</v>
      </c>
      <c r="B586" s="4" t="s">
        <v>785</v>
      </c>
      <c r="C586" s="4" t="s">
        <v>795</v>
      </c>
      <c r="D586" s="4" t="s">
        <v>158</v>
      </c>
      <c r="E586" s="3" t="s">
        <v>23</v>
      </c>
      <c r="F586" s="3" t="n">
        <v>479</v>
      </c>
      <c r="G586" s="4" t="s">
        <v>168</v>
      </c>
      <c r="H586" s="5" t="n">
        <v>27000</v>
      </c>
      <c r="I586" s="3" t="s">
        <v>33</v>
      </c>
      <c r="J586" s="6" t="n">
        <v>255</v>
      </c>
      <c r="K586" s="6" t="n">
        <v>224</v>
      </c>
      <c r="L586" s="7" t="n">
        <f aca="false">K586*1.35582</f>
        <v>303.70368</v>
      </c>
      <c r="M586" s="6" t="n">
        <v>3175</v>
      </c>
      <c r="N586" s="7" t="n">
        <f aca="false">M586*0.453592</f>
        <v>1440.1546</v>
      </c>
      <c r="O586" s="3" t="s">
        <v>62</v>
      </c>
      <c r="P586" s="3" t="s">
        <v>27</v>
      </c>
      <c r="Q586" s="8" t="n">
        <f aca="false">J586/M586</f>
        <v>0.0803149606299213</v>
      </c>
      <c r="R586" s="8" t="n">
        <f aca="false">J586/N586</f>
        <v>0.177064323510823</v>
      </c>
      <c r="S586" s="4" t="s">
        <v>35</v>
      </c>
    </row>
    <row r="587" customFormat="false" ht="14.25" hidden="false" customHeight="true" outlineLevel="0" collapsed="false">
      <c r="A587" s="3" t="s">
        <v>118</v>
      </c>
      <c r="B587" s="4" t="s">
        <v>785</v>
      </c>
      <c r="C587" s="4" t="s">
        <v>796</v>
      </c>
      <c r="D587" s="4" t="s">
        <v>120</v>
      </c>
      <c r="E587" s="3" t="s">
        <v>23</v>
      </c>
      <c r="F587" s="3" t="n">
        <v>433</v>
      </c>
      <c r="G587" s="4" t="s">
        <v>168</v>
      </c>
      <c r="H587" s="5" t="n">
        <v>12000</v>
      </c>
      <c r="I587" s="3" t="s">
        <v>25</v>
      </c>
      <c r="J587" s="6" t="n">
        <v>187</v>
      </c>
      <c r="K587" s="6" t="n">
        <v>133</v>
      </c>
      <c r="L587" s="7" t="n">
        <f aca="false">K587*1.35582</f>
        <v>180.32406</v>
      </c>
      <c r="M587" s="6" t="n">
        <v>2560</v>
      </c>
      <c r="N587" s="7" t="n">
        <f aca="false">M587*0.453592</f>
        <v>1161.19552</v>
      </c>
      <c r="O587" s="3" t="s">
        <v>47</v>
      </c>
      <c r="P587" s="3" t="s">
        <v>27</v>
      </c>
      <c r="Q587" s="8" t="n">
        <f aca="false">J587/M587</f>
        <v>0.073046875</v>
      </c>
      <c r="R587" s="8" t="n">
        <f aca="false">J587/N587</f>
        <v>0.161040924443112</v>
      </c>
      <c r="S587" s="4" t="s">
        <v>35</v>
      </c>
    </row>
    <row r="588" customFormat="false" ht="14.25" hidden="false" customHeight="true" outlineLevel="0" collapsed="false">
      <c r="A588" s="3" t="s">
        <v>194</v>
      </c>
      <c r="B588" s="4" t="s">
        <v>785</v>
      </c>
      <c r="C588" s="4" t="s">
        <v>797</v>
      </c>
      <c r="D588" s="4" t="s">
        <v>61</v>
      </c>
      <c r="E588" s="3" t="s">
        <v>39</v>
      </c>
      <c r="F588" s="3" t="n">
        <v>504</v>
      </c>
      <c r="G588" s="4" t="s">
        <v>168</v>
      </c>
      <c r="H588" s="5" t="n">
        <v>15500</v>
      </c>
      <c r="I588" s="3" t="s">
        <v>25</v>
      </c>
      <c r="J588" s="6" t="n">
        <v>276</v>
      </c>
      <c r="K588" s="6" t="n">
        <v>278</v>
      </c>
      <c r="L588" s="7" t="n">
        <f aca="false">K588*1.35582</f>
        <v>376.91796</v>
      </c>
      <c r="M588" s="6" t="n">
        <v>3263</v>
      </c>
      <c r="N588" s="7" t="n">
        <f aca="false">M588*0.453592</f>
        <v>1480.070696</v>
      </c>
      <c r="O588" s="3" t="s">
        <v>26</v>
      </c>
      <c r="P588" s="3" t="s">
        <v>27</v>
      </c>
      <c r="Q588" s="8" t="n">
        <f aca="false">J588/M588</f>
        <v>0.0845847379711922</v>
      </c>
      <c r="R588" s="8" t="n">
        <f aca="false">J588/N588</f>
        <v>0.186477578906136</v>
      </c>
      <c r="S588" s="4" t="s">
        <v>99</v>
      </c>
    </row>
    <row r="589" customFormat="false" ht="14.25" hidden="false" customHeight="true" outlineLevel="0" collapsed="false">
      <c r="A589" s="3" t="s">
        <v>413</v>
      </c>
      <c r="B589" s="4" t="s">
        <v>785</v>
      </c>
      <c r="C589" s="4" t="s">
        <v>798</v>
      </c>
      <c r="D589" s="4" t="s">
        <v>61</v>
      </c>
      <c r="E589" s="3" t="s">
        <v>23</v>
      </c>
      <c r="F589" s="3" t="n">
        <v>484</v>
      </c>
      <c r="G589" s="4" t="s">
        <v>168</v>
      </c>
      <c r="H589" s="5" t="n">
        <v>20000</v>
      </c>
      <c r="I589" s="3" t="s">
        <v>25</v>
      </c>
      <c r="J589" s="6" t="n">
        <v>276</v>
      </c>
      <c r="K589" s="6" t="n">
        <v>267</v>
      </c>
      <c r="L589" s="7" t="n">
        <f aca="false">K589*1.35582</f>
        <v>362.00394</v>
      </c>
      <c r="M589" s="6" t="n">
        <v>3395</v>
      </c>
      <c r="N589" s="7" t="n">
        <f aca="false">M589*0.453592</f>
        <v>1539.94484</v>
      </c>
      <c r="O589" s="3" t="s">
        <v>26</v>
      </c>
      <c r="P589" s="3" t="s">
        <v>27</v>
      </c>
      <c r="Q589" s="8" t="n">
        <f aca="false">J589/M589</f>
        <v>0.0812960235640648</v>
      </c>
      <c r="R589" s="8" t="n">
        <f aca="false">J589/N589</f>
        <v>0.179227198813173</v>
      </c>
      <c r="S589" s="4" t="s">
        <v>35</v>
      </c>
    </row>
    <row r="590" customFormat="false" ht="14.25" hidden="false" customHeight="true" outlineLevel="0" collapsed="false">
      <c r="A590" s="3" t="s">
        <v>437</v>
      </c>
      <c r="B590" s="4" t="s">
        <v>785</v>
      </c>
      <c r="C590" s="4" t="s">
        <v>799</v>
      </c>
      <c r="D590" s="4" t="s">
        <v>163</v>
      </c>
      <c r="E590" s="3" t="s">
        <v>32</v>
      </c>
      <c r="F590" s="3" t="n">
        <v>197</v>
      </c>
      <c r="G590" s="4" t="s">
        <v>168</v>
      </c>
      <c r="H590" s="5"/>
      <c r="I590" s="3"/>
      <c r="J590" s="6" t="n">
        <v>88</v>
      </c>
      <c r="K590" s="6" t="n">
        <v>91</v>
      </c>
      <c r="L590" s="7" t="n">
        <f aca="false">K590*1.35582</f>
        <v>123.37962</v>
      </c>
      <c r="M590" s="6" t="n">
        <v>2065</v>
      </c>
      <c r="N590" s="7" t="n">
        <f aca="false">M590*0.453592</f>
        <v>936.66748</v>
      </c>
      <c r="O590" s="3"/>
      <c r="P590" s="3"/>
      <c r="Q590" s="8" t="n">
        <f aca="false">J590/M590</f>
        <v>0.0426150121065375</v>
      </c>
      <c r="R590" s="8" t="n">
        <f aca="false">J590/N590</f>
        <v>0.0939500963565</v>
      </c>
      <c r="S590" s="4" t="s">
        <v>28</v>
      </c>
    </row>
    <row r="591" customFormat="false" ht="14.25" hidden="false" customHeight="true" outlineLevel="0" collapsed="false">
      <c r="A591" s="3" t="s">
        <v>195</v>
      </c>
      <c r="B591" s="4" t="s">
        <v>785</v>
      </c>
      <c r="C591" s="4" t="s">
        <v>800</v>
      </c>
      <c r="D591" s="4" t="s">
        <v>61</v>
      </c>
      <c r="E591" s="3" t="s">
        <v>32</v>
      </c>
      <c r="F591" s="3" t="n">
        <v>181</v>
      </c>
      <c r="G591" s="4" t="s">
        <v>168</v>
      </c>
      <c r="H591" s="5" t="n">
        <v>10000</v>
      </c>
      <c r="I591" s="3" t="s">
        <v>33</v>
      </c>
      <c r="J591" s="6" t="n">
        <v>78</v>
      </c>
      <c r="K591" s="6" t="n">
        <v>118</v>
      </c>
      <c r="L591" s="7" t="n">
        <f aca="false">K591*1.35582</f>
        <v>159.98676</v>
      </c>
      <c r="M591" s="6" t="n">
        <v>3020</v>
      </c>
      <c r="N591" s="7" t="n">
        <f aca="false">M591*0.453592</f>
        <v>1369.84784</v>
      </c>
      <c r="O591" s="3" t="s">
        <v>26</v>
      </c>
      <c r="P591" s="3" t="s">
        <v>27</v>
      </c>
      <c r="Q591" s="8" t="n">
        <f aca="false">J591/M591</f>
        <v>0.0258278145695364</v>
      </c>
      <c r="R591" s="8" t="n">
        <f aca="false">J591/N591</f>
        <v>0.0569406307199784</v>
      </c>
      <c r="S591" s="4" t="s">
        <v>35</v>
      </c>
    </row>
    <row r="592" customFormat="false" ht="14.25" hidden="false" customHeight="true" outlineLevel="0" collapsed="false">
      <c r="A592" s="3" t="s">
        <v>239</v>
      </c>
      <c r="B592" s="4" t="s">
        <v>785</v>
      </c>
      <c r="C592" s="4" t="s">
        <v>801</v>
      </c>
      <c r="D592" s="4" t="s">
        <v>260</v>
      </c>
      <c r="E592" s="3" t="s">
        <v>32</v>
      </c>
      <c r="F592" s="3" t="n">
        <v>157</v>
      </c>
      <c r="G592" s="4" t="s">
        <v>168</v>
      </c>
      <c r="H592" s="5" t="n">
        <v>103000</v>
      </c>
      <c r="I592" s="3" t="s">
        <v>33</v>
      </c>
      <c r="J592" s="6" t="n">
        <v>135</v>
      </c>
      <c r="K592" s="6" t="n">
        <v>210</v>
      </c>
      <c r="L592" s="7" t="n">
        <f aca="false">K592*1.35582</f>
        <v>284.7222</v>
      </c>
      <c r="M592" s="6" t="n">
        <v>3417</v>
      </c>
      <c r="N592" s="7" t="n">
        <f aca="false">M592*0.453592</f>
        <v>1549.923864</v>
      </c>
      <c r="O592" s="3" t="s">
        <v>62</v>
      </c>
      <c r="P592" s="3" t="s">
        <v>27</v>
      </c>
      <c r="Q592" s="8" t="n">
        <f aca="false">J592/M592</f>
        <v>0.0395083406496927</v>
      </c>
      <c r="R592" s="8" t="n">
        <f aca="false">J592/N592</f>
        <v>0.087101052597252</v>
      </c>
      <c r="S592" s="4" t="s">
        <v>35</v>
      </c>
    </row>
    <row r="593" customFormat="false" ht="14.25" hidden="false" customHeight="true" outlineLevel="0" collapsed="false">
      <c r="A593" s="3" t="s">
        <v>43</v>
      </c>
      <c r="B593" s="4" t="s">
        <v>785</v>
      </c>
      <c r="C593" s="4" t="s">
        <v>802</v>
      </c>
      <c r="D593" s="4" t="s">
        <v>147</v>
      </c>
      <c r="E593" s="3" t="s">
        <v>39</v>
      </c>
      <c r="F593" s="3" t="n">
        <v>596</v>
      </c>
      <c r="G593" s="4" t="s">
        <v>168</v>
      </c>
      <c r="H593" s="5" t="n">
        <v>45000</v>
      </c>
      <c r="I593" s="3" t="s">
        <v>25</v>
      </c>
      <c r="J593" s="6" t="n">
        <v>300</v>
      </c>
      <c r="K593" s="6" t="n">
        <v>295</v>
      </c>
      <c r="L593" s="7" t="n">
        <f aca="false">K593*1.35582</f>
        <v>399.9669</v>
      </c>
      <c r="M593" s="6" t="n">
        <v>3186</v>
      </c>
      <c r="N593" s="7" t="n">
        <f aca="false">M593*0.453592</f>
        <v>1445.144112</v>
      </c>
      <c r="O593" s="3" t="s">
        <v>62</v>
      </c>
      <c r="P593" s="3" t="s">
        <v>27</v>
      </c>
      <c r="Q593" s="8" t="n">
        <f aca="false">J593/M593</f>
        <v>0.0941619585687382</v>
      </c>
      <c r="R593" s="8" t="n">
        <f aca="false">J593/N593</f>
        <v>0.207591753312973</v>
      </c>
      <c r="S593" s="4" t="s">
        <v>75</v>
      </c>
    </row>
    <row r="594" customFormat="false" ht="14.25" hidden="false" customHeight="true" outlineLevel="0" collapsed="false">
      <c r="A594" s="3" t="s">
        <v>141</v>
      </c>
      <c r="B594" s="4" t="s">
        <v>785</v>
      </c>
      <c r="C594" s="4" t="s">
        <v>803</v>
      </c>
      <c r="D594" s="4" t="s">
        <v>22</v>
      </c>
      <c r="E594" s="3" t="s">
        <v>70</v>
      </c>
      <c r="F594" s="3" t="n">
        <v>616</v>
      </c>
      <c r="G594" s="4" t="s">
        <v>168</v>
      </c>
      <c r="H594" s="5" t="n">
        <v>45000</v>
      </c>
      <c r="I594" s="3" t="s">
        <v>25</v>
      </c>
      <c r="J594" s="6" t="n">
        <v>335</v>
      </c>
      <c r="K594" s="6" t="n">
        <v>365</v>
      </c>
      <c r="L594" s="7" t="n">
        <f aca="false">K594*1.35582</f>
        <v>494.8743</v>
      </c>
      <c r="M594" s="6" t="n">
        <v>3397</v>
      </c>
      <c r="N594" s="7" t="n">
        <f aca="false">M594*0.453592</f>
        <v>1540.852024</v>
      </c>
      <c r="O594" s="3" t="s">
        <v>26</v>
      </c>
      <c r="P594" s="3" t="s">
        <v>27</v>
      </c>
      <c r="Q594" s="8" t="n">
        <f aca="false">J594/M594</f>
        <v>0.0986164262584634</v>
      </c>
      <c r="R594" s="8" t="n">
        <f aca="false">J594/N594</f>
        <v>0.217412181560661</v>
      </c>
      <c r="S594" s="4" t="s">
        <v>112</v>
      </c>
    </row>
    <row r="595" customFormat="false" ht="14.25" hidden="false" customHeight="true" outlineLevel="0" collapsed="false">
      <c r="A595" s="3" t="s">
        <v>76</v>
      </c>
      <c r="B595" s="4" t="s">
        <v>785</v>
      </c>
      <c r="C595" s="4" t="s">
        <v>804</v>
      </c>
      <c r="D595" s="4" t="s">
        <v>627</v>
      </c>
      <c r="E595" s="3" t="s">
        <v>39</v>
      </c>
      <c r="F595" s="3" t="n">
        <v>558</v>
      </c>
      <c r="G595" s="4" t="s">
        <v>168</v>
      </c>
      <c r="H595" s="5" t="n">
        <v>54000</v>
      </c>
      <c r="I595" s="3" t="s">
        <v>55</v>
      </c>
      <c r="J595" s="6" t="n">
        <v>257</v>
      </c>
      <c r="K595" s="6" t="n">
        <v>265</v>
      </c>
      <c r="L595" s="7" t="n">
        <f aca="false">K595*1.35582</f>
        <v>359.2923</v>
      </c>
      <c r="M595" s="6" t="n">
        <v>2888</v>
      </c>
      <c r="N595" s="7" t="n">
        <f aca="false">M595*0.453592</f>
        <v>1309.973696</v>
      </c>
      <c r="O595" s="3" t="s">
        <v>62</v>
      </c>
      <c r="P595" s="3" t="s">
        <v>27</v>
      </c>
      <c r="Q595" s="8" t="n">
        <f aca="false">J595/M595</f>
        <v>0.08898891966759</v>
      </c>
      <c r="R595" s="8" t="n">
        <f aca="false">J595/N595</f>
        <v>0.196187145424941</v>
      </c>
      <c r="S595" s="4" t="s">
        <v>35</v>
      </c>
    </row>
    <row r="596" customFormat="false" ht="14.25" hidden="false" customHeight="true" outlineLevel="0" collapsed="false">
      <c r="A596" s="3" t="s">
        <v>51</v>
      </c>
      <c r="B596" s="4" t="s">
        <v>785</v>
      </c>
      <c r="C596" s="4" t="s">
        <v>805</v>
      </c>
      <c r="D596" s="4" t="s">
        <v>22</v>
      </c>
      <c r="E596" s="3" t="s">
        <v>39</v>
      </c>
      <c r="F596" s="3" t="n">
        <v>556</v>
      </c>
      <c r="G596" s="4" t="s">
        <v>168</v>
      </c>
      <c r="H596" s="5" t="n">
        <v>28000</v>
      </c>
      <c r="I596" s="3" t="s">
        <v>33</v>
      </c>
      <c r="J596" s="6" t="n">
        <v>228</v>
      </c>
      <c r="K596" s="6" t="n">
        <v>184</v>
      </c>
      <c r="L596" s="7" t="n">
        <f aca="false">K596*1.35582</f>
        <v>249.47088</v>
      </c>
      <c r="M596" s="6" t="n">
        <v>2811</v>
      </c>
      <c r="N596" s="7" t="n">
        <f aca="false">M596*0.453592</f>
        <v>1275.047112</v>
      </c>
      <c r="O596" s="3" t="s">
        <v>26</v>
      </c>
      <c r="P596" s="3" t="s">
        <v>27</v>
      </c>
      <c r="Q596" s="8" t="n">
        <f aca="false">J596/M596</f>
        <v>0.0811099252934899</v>
      </c>
      <c r="R596" s="8" t="n">
        <f aca="false">J596/N596</f>
        <v>0.17881692202131</v>
      </c>
      <c r="S596" s="4" t="s">
        <v>35</v>
      </c>
    </row>
    <row r="597" customFormat="false" ht="14.25" hidden="false" customHeight="true" outlineLevel="0" collapsed="false">
      <c r="A597" s="3" t="s">
        <v>178</v>
      </c>
      <c r="B597" s="4" t="s">
        <v>785</v>
      </c>
      <c r="C597" s="4" t="s">
        <v>806</v>
      </c>
      <c r="D597" s="4" t="s">
        <v>103</v>
      </c>
      <c r="E597" s="3" t="s">
        <v>109</v>
      </c>
      <c r="F597" s="3" t="n">
        <v>828</v>
      </c>
      <c r="G597" s="4" t="s">
        <v>168</v>
      </c>
      <c r="H597" s="5" t="n">
        <v>420000</v>
      </c>
      <c r="I597" s="3" t="s">
        <v>55</v>
      </c>
      <c r="J597" s="6" t="n">
        <v>700</v>
      </c>
      <c r="K597" s="6" t="n">
        <v>539</v>
      </c>
      <c r="L597" s="7" t="n">
        <f aca="false">K597*1.35582</f>
        <v>730.78698</v>
      </c>
      <c r="M597" s="6" t="n">
        <v>3109</v>
      </c>
      <c r="N597" s="7" t="n">
        <f aca="false">M597*0.453592</f>
        <v>1410.217528</v>
      </c>
      <c r="O597" s="3" t="s">
        <v>26</v>
      </c>
      <c r="P597" s="3" t="s">
        <v>27</v>
      </c>
      <c r="Q597" s="8" t="n">
        <f aca="false">J597/M597</f>
        <v>0.225152782245095</v>
      </c>
      <c r="R597" s="8" t="n">
        <f aca="false">J597/N597</f>
        <v>0.496377322009857</v>
      </c>
      <c r="S597" s="4" t="s">
        <v>75</v>
      </c>
    </row>
    <row r="598" customFormat="false" ht="14.25" hidden="false" customHeight="true" outlineLevel="0" collapsed="false">
      <c r="A598" s="3" t="s">
        <v>19</v>
      </c>
      <c r="B598" s="4" t="s">
        <v>785</v>
      </c>
      <c r="C598" s="4" t="s">
        <v>807</v>
      </c>
      <c r="D598" s="4" t="s">
        <v>167</v>
      </c>
      <c r="E598" s="3" t="s">
        <v>32</v>
      </c>
      <c r="F598" s="3" t="n">
        <v>248</v>
      </c>
      <c r="G598" s="4" t="s">
        <v>168</v>
      </c>
      <c r="H598" s="5" t="n">
        <v>25000</v>
      </c>
      <c r="I598" s="3" t="s">
        <v>33</v>
      </c>
      <c r="J598" s="6" t="n">
        <v>98</v>
      </c>
      <c r="K598" s="6" t="n">
        <v>397</v>
      </c>
      <c r="L598" s="7" t="n">
        <f aca="false">K598*1.35582</f>
        <v>538.26054</v>
      </c>
      <c r="M598" s="6" t="n">
        <v>3109</v>
      </c>
      <c r="N598" s="7" t="n">
        <f aca="false">M598*0.453592</f>
        <v>1410.217528</v>
      </c>
      <c r="O598" s="3" t="s">
        <v>47</v>
      </c>
      <c r="P598" s="3" t="s">
        <v>27</v>
      </c>
      <c r="Q598" s="8" t="n">
        <f aca="false">J598/M598</f>
        <v>0.0315213895143133</v>
      </c>
      <c r="R598" s="8" t="n">
        <f aca="false">J598/N598</f>
        <v>0.0694928250813799</v>
      </c>
      <c r="S598" s="4" t="s">
        <v>35</v>
      </c>
    </row>
    <row r="599" customFormat="false" ht="14.25" hidden="false" customHeight="true" outlineLevel="0" collapsed="false">
      <c r="A599" s="3" t="s">
        <v>330</v>
      </c>
      <c r="B599" s="4" t="s">
        <v>785</v>
      </c>
      <c r="C599" s="4" t="s">
        <v>808</v>
      </c>
      <c r="D599" s="4" t="s">
        <v>124</v>
      </c>
      <c r="E599" s="3" t="s">
        <v>23</v>
      </c>
      <c r="F599" s="3" t="n">
        <v>456</v>
      </c>
      <c r="G599" s="4" t="s">
        <v>168</v>
      </c>
      <c r="H599" s="5" t="n">
        <v>70000</v>
      </c>
      <c r="I599" s="3" t="s">
        <v>25</v>
      </c>
      <c r="J599" s="6" t="n">
        <v>326</v>
      </c>
      <c r="K599" s="6" t="n">
        <v>465</v>
      </c>
      <c r="L599" s="7" t="n">
        <f aca="false">K599*1.35582</f>
        <v>630.4563</v>
      </c>
      <c r="M599" s="6" t="n">
        <v>5038</v>
      </c>
      <c r="N599" s="7" t="n">
        <f aca="false">M599*0.453592</f>
        <v>2285.196496</v>
      </c>
      <c r="O599" s="3" t="s">
        <v>62</v>
      </c>
      <c r="P599" s="3" t="s">
        <v>27</v>
      </c>
      <c r="Q599" s="8" t="n">
        <f aca="false">J599/M599</f>
        <v>0.0647082175466455</v>
      </c>
      <c r="R599" s="8" t="n">
        <f aca="false">J599/N599</f>
        <v>0.142657316589899</v>
      </c>
      <c r="S599" s="4" t="s">
        <v>35</v>
      </c>
    </row>
    <row r="600" customFormat="false" ht="14.25" hidden="false" customHeight="true" outlineLevel="0" collapsed="false">
      <c r="A600" s="3" t="s">
        <v>36</v>
      </c>
      <c r="B600" s="4" t="s">
        <v>785</v>
      </c>
      <c r="C600" s="4" t="s">
        <v>809</v>
      </c>
      <c r="D600" s="4" t="s">
        <v>260</v>
      </c>
      <c r="E600" s="3" t="s">
        <v>32</v>
      </c>
      <c r="F600" s="3" t="n">
        <v>332</v>
      </c>
      <c r="G600" s="4" t="s">
        <v>168</v>
      </c>
      <c r="H600" s="5" t="n">
        <v>250000</v>
      </c>
      <c r="I600" s="3" t="s">
        <v>25</v>
      </c>
      <c r="J600" s="6" t="n">
        <v>161</v>
      </c>
      <c r="K600" s="6" t="n">
        <v>253</v>
      </c>
      <c r="L600" s="7" t="n">
        <f aca="false">K600*1.35582</f>
        <v>343.02246</v>
      </c>
      <c r="M600" s="6" t="n">
        <v>4993</v>
      </c>
      <c r="N600" s="7" t="n">
        <f aca="false">M600*0.453592</f>
        <v>2264.784856</v>
      </c>
      <c r="O600" s="3"/>
      <c r="P600" s="3"/>
      <c r="Q600" s="8" t="n">
        <f aca="false">J600/M600</f>
        <v>0.0322451432004807</v>
      </c>
      <c r="R600" s="8" t="n">
        <f aca="false">J600/N600</f>
        <v>0.0710884301321026</v>
      </c>
      <c r="S600" s="4" t="s">
        <v>28</v>
      </c>
    </row>
    <row r="601" customFormat="false" ht="14.25" hidden="false" customHeight="true" outlineLevel="0" collapsed="false">
      <c r="A601" s="3" t="s">
        <v>178</v>
      </c>
      <c r="B601" s="4" t="s">
        <v>785</v>
      </c>
      <c r="C601" s="4" t="s">
        <v>810</v>
      </c>
      <c r="D601" s="4" t="s">
        <v>120</v>
      </c>
      <c r="E601" s="3" t="s">
        <v>39</v>
      </c>
      <c r="F601" s="3" t="n">
        <v>522</v>
      </c>
      <c r="G601" s="4" t="s">
        <v>168</v>
      </c>
      <c r="H601" s="5" t="n">
        <v>28000</v>
      </c>
      <c r="I601" s="3" t="s">
        <v>25</v>
      </c>
      <c r="J601" s="6" t="n">
        <v>241</v>
      </c>
      <c r="K601" s="6" t="n">
        <v>228</v>
      </c>
      <c r="L601" s="7" t="n">
        <f aca="false">K601*1.35582</f>
        <v>309.12696</v>
      </c>
      <c r="M601" s="6" t="n">
        <v>2657</v>
      </c>
      <c r="N601" s="7" t="n">
        <f aca="false">M601*0.453592</f>
        <v>1205.193944</v>
      </c>
      <c r="O601" s="3" t="s">
        <v>26</v>
      </c>
      <c r="P601" s="3" t="s">
        <v>67</v>
      </c>
      <c r="Q601" s="8" t="n">
        <f aca="false">J601/M601</f>
        <v>0.0907038012796387</v>
      </c>
      <c r="R601" s="8" t="n">
        <f aca="false">J601/N601</f>
        <v>0.199967815304588</v>
      </c>
      <c r="S601" s="4" t="s">
        <v>35</v>
      </c>
    </row>
    <row r="602" customFormat="false" ht="14.25" hidden="false" customHeight="true" outlineLevel="0" collapsed="false">
      <c r="A602" s="3" t="s">
        <v>325</v>
      </c>
      <c r="B602" s="4" t="s">
        <v>785</v>
      </c>
      <c r="C602" s="4" t="s">
        <v>811</v>
      </c>
      <c r="D602" s="4" t="s">
        <v>120</v>
      </c>
      <c r="E602" s="3" t="s">
        <v>32</v>
      </c>
      <c r="F602" s="3" t="n">
        <v>397</v>
      </c>
      <c r="G602" s="4" t="s">
        <v>168</v>
      </c>
      <c r="H602" s="5" t="n">
        <v>250000</v>
      </c>
      <c r="I602" s="3" t="s">
        <v>55</v>
      </c>
      <c r="J602" s="6" t="n">
        <v>145</v>
      </c>
      <c r="K602" s="6" t="n">
        <v>140</v>
      </c>
      <c r="L602" s="7" t="n">
        <f aca="false">K602*1.35582</f>
        <v>189.8148</v>
      </c>
      <c r="M602" s="6" t="n">
        <v>2620</v>
      </c>
      <c r="N602" s="7" t="n">
        <f aca="false">M602*0.453592</f>
        <v>1188.41104</v>
      </c>
      <c r="O602" s="3"/>
      <c r="P602" s="3"/>
      <c r="Q602" s="8" t="n">
        <f aca="false">J602/M602</f>
        <v>0.0553435114503817</v>
      </c>
      <c r="R602" s="8" t="n">
        <f aca="false">J602/N602</f>
        <v>0.122011656842232</v>
      </c>
      <c r="S602" s="4" t="s">
        <v>28</v>
      </c>
    </row>
    <row r="603" customFormat="false" ht="14.25" hidden="false" customHeight="true" outlineLevel="0" collapsed="false">
      <c r="A603" s="3" t="s">
        <v>207</v>
      </c>
      <c r="B603" s="4" t="s">
        <v>785</v>
      </c>
      <c r="C603" s="4" t="s">
        <v>812</v>
      </c>
      <c r="D603" s="4" t="s">
        <v>38</v>
      </c>
      <c r="E603" s="3" t="s">
        <v>23</v>
      </c>
      <c r="F603" s="3" t="n">
        <v>472</v>
      </c>
      <c r="G603" s="4" t="s">
        <v>168</v>
      </c>
      <c r="H603" s="5" t="n">
        <v>40000</v>
      </c>
      <c r="I603" s="3" t="s">
        <v>33</v>
      </c>
      <c r="J603" s="6" t="n">
        <v>220</v>
      </c>
      <c r="K603" s="6" t="n">
        <v>206</v>
      </c>
      <c r="L603" s="7" t="n">
        <f aca="false">K603*1.35582</f>
        <v>279.29892</v>
      </c>
      <c r="M603" s="6" t="n">
        <v>3571</v>
      </c>
      <c r="N603" s="7" t="n">
        <f aca="false">M603*0.453592</f>
        <v>1619.777032</v>
      </c>
      <c r="O603" s="3" t="s">
        <v>47</v>
      </c>
      <c r="P603" s="3" t="s">
        <v>27</v>
      </c>
      <c r="Q603" s="8" t="n">
        <f aca="false">J603/M603</f>
        <v>0.0616073928871465</v>
      </c>
      <c r="R603" s="8" t="n">
        <f aca="false">J603/N603</f>
        <v>0.135821162822859</v>
      </c>
      <c r="S603" s="4" t="s">
        <v>75</v>
      </c>
    </row>
    <row r="604" customFormat="false" ht="14.25" hidden="false" customHeight="true" outlineLevel="0" collapsed="false">
      <c r="A604" s="3" t="s">
        <v>413</v>
      </c>
      <c r="B604" s="4" t="s">
        <v>785</v>
      </c>
      <c r="C604" s="4" t="s">
        <v>813</v>
      </c>
      <c r="D604" s="4" t="s">
        <v>167</v>
      </c>
      <c r="E604" s="3" t="s">
        <v>32</v>
      </c>
      <c r="F604" s="3" t="n">
        <v>344</v>
      </c>
      <c r="G604" s="4" t="s">
        <v>168</v>
      </c>
      <c r="H604" s="5" t="n">
        <v>11000</v>
      </c>
      <c r="I604" s="3" t="s">
        <v>25</v>
      </c>
      <c r="J604" s="6" t="n">
        <v>108</v>
      </c>
      <c r="K604" s="6" t="n">
        <v>97</v>
      </c>
      <c r="L604" s="7" t="n">
        <f aca="false">K604*1.35582</f>
        <v>131.51454</v>
      </c>
      <c r="M604" s="6" t="n">
        <v>2050</v>
      </c>
      <c r="N604" s="7" t="n">
        <f aca="false">M604*0.453592</f>
        <v>929.8636</v>
      </c>
      <c r="O604" s="3" t="s">
        <v>47</v>
      </c>
      <c r="P604" s="3" t="s">
        <v>27</v>
      </c>
      <c r="Q604" s="8" t="n">
        <f aca="false">J604/M604</f>
        <v>0.0526829268292683</v>
      </c>
      <c r="R604" s="8" t="n">
        <f aca="false">J604/N604</f>
        <v>0.11614606701456</v>
      </c>
      <c r="S604" s="4" t="s">
        <v>35</v>
      </c>
    </row>
    <row r="605" customFormat="false" ht="14.25" hidden="false" customHeight="true" outlineLevel="0" collapsed="false">
      <c r="A605" s="3" t="s">
        <v>194</v>
      </c>
      <c r="B605" s="4" t="s">
        <v>785</v>
      </c>
      <c r="C605" s="4" t="s">
        <v>814</v>
      </c>
      <c r="D605" s="4" t="s">
        <v>120</v>
      </c>
      <c r="E605" s="3" t="s">
        <v>23</v>
      </c>
      <c r="F605" s="3" t="n">
        <v>491</v>
      </c>
      <c r="G605" s="4" t="s">
        <v>168</v>
      </c>
      <c r="H605" s="5" t="n">
        <v>18000</v>
      </c>
      <c r="I605" s="3" t="s">
        <v>25</v>
      </c>
      <c r="J605" s="6" t="n">
        <v>276</v>
      </c>
      <c r="K605" s="6" t="n">
        <v>279</v>
      </c>
      <c r="L605" s="7" t="n">
        <f aca="false">K605*1.35582</f>
        <v>378.27378</v>
      </c>
      <c r="M605" s="6" t="n">
        <v>3461</v>
      </c>
      <c r="N605" s="7" t="n">
        <f aca="false">M605*0.453592</f>
        <v>1569.881912</v>
      </c>
      <c r="O605" s="3" t="s">
        <v>26</v>
      </c>
      <c r="P605" s="3" t="s">
        <v>27</v>
      </c>
      <c r="Q605" s="8" t="n">
        <f aca="false">J605/M605</f>
        <v>0.0797457382259463</v>
      </c>
      <c r="R605" s="8" t="n">
        <f aca="false">J605/N605</f>
        <v>0.175809401898504</v>
      </c>
      <c r="S605" s="4" t="s">
        <v>112</v>
      </c>
    </row>
    <row r="606" customFormat="false" ht="14.25" hidden="false" customHeight="true" outlineLevel="0" collapsed="false">
      <c r="A606" s="3" t="s">
        <v>80</v>
      </c>
      <c r="B606" s="4" t="s">
        <v>785</v>
      </c>
      <c r="C606" s="4" t="s">
        <v>815</v>
      </c>
      <c r="D606" s="4" t="s">
        <v>163</v>
      </c>
      <c r="E606" s="3" t="s">
        <v>32</v>
      </c>
      <c r="F606" s="3" t="n">
        <v>141</v>
      </c>
      <c r="G606" s="4" t="s">
        <v>168</v>
      </c>
      <c r="H606" s="5"/>
      <c r="I606" s="3"/>
      <c r="J606" s="6" t="n">
        <v>44</v>
      </c>
      <c r="K606" s="6" t="n">
        <v>49</v>
      </c>
      <c r="L606" s="7" t="n">
        <f aca="false">K606*1.35582</f>
        <v>66.43518</v>
      </c>
      <c r="M606" s="6" t="n">
        <v>1329</v>
      </c>
      <c r="N606" s="7" t="n">
        <f aca="false">M606*0.453592</f>
        <v>602.823768</v>
      </c>
      <c r="O606" s="3"/>
      <c r="P606" s="3"/>
      <c r="Q606" s="8" t="n">
        <f aca="false">J606/M606</f>
        <v>0.0331075996990218</v>
      </c>
      <c r="R606" s="8" t="n">
        <f aca="false">J606/N606</f>
        <v>0.0729898227901326</v>
      </c>
      <c r="S606" s="4" t="s">
        <v>816</v>
      </c>
    </row>
    <row r="607" customFormat="false" ht="14.25" hidden="false" customHeight="true" outlineLevel="0" collapsed="false">
      <c r="A607" s="3" t="s">
        <v>80</v>
      </c>
      <c r="B607" s="4" t="s">
        <v>785</v>
      </c>
      <c r="C607" s="4" t="s">
        <v>817</v>
      </c>
      <c r="D607" s="4" t="s">
        <v>163</v>
      </c>
      <c r="E607" s="3" t="s">
        <v>32</v>
      </c>
      <c r="F607" s="3" t="n">
        <v>141</v>
      </c>
      <c r="G607" s="4" t="s">
        <v>168</v>
      </c>
      <c r="H607" s="5" t="n">
        <v>35000</v>
      </c>
      <c r="I607" s="3" t="s">
        <v>25</v>
      </c>
      <c r="J607" s="6" t="n">
        <v>44</v>
      </c>
      <c r="K607" s="6" t="n">
        <v>49</v>
      </c>
      <c r="L607" s="7" t="n">
        <f aca="false">K607*1.35582</f>
        <v>66.43518</v>
      </c>
      <c r="M607" s="6" t="n">
        <v>1329</v>
      </c>
      <c r="N607" s="7" t="n">
        <f aca="false">M607*0.453592</f>
        <v>602.823768</v>
      </c>
      <c r="O607" s="3" t="s">
        <v>26</v>
      </c>
      <c r="P607" s="3" t="s">
        <v>27</v>
      </c>
      <c r="Q607" s="8" t="n">
        <f aca="false">J607/M607</f>
        <v>0.0331075996990218</v>
      </c>
      <c r="R607" s="8" t="n">
        <f aca="false">J607/N607</f>
        <v>0.0729898227901326</v>
      </c>
      <c r="S607" s="4" t="s">
        <v>75</v>
      </c>
    </row>
    <row r="608" customFormat="false" ht="14.25" hidden="false" customHeight="true" outlineLevel="0" collapsed="false">
      <c r="A608" s="3" t="s">
        <v>384</v>
      </c>
      <c r="B608" s="4" t="s">
        <v>785</v>
      </c>
      <c r="C608" s="4" t="s">
        <v>818</v>
      </c>
      <c r="D608" s="4" t="s">
        <v>120</v>
      </c>
      <c r="E608" s="3" t="s">
        <v>32</v>
      </c>
      <c r="F608" s="3" t="n">
        <v>376</v>
      </c>
      <c r="G608" s="4" t="s">
        <v>168</v>
      </c>
      <c r="H608" s="5" t="n">
        <v>30000</v>
      </c>
      <c r="I608" s="3" t="s">
        <v>55</v>
      </c>
      <c r="J608" s="6" t="n">
        <v>128</v>
      </c>
      <c r="K608" s="6" t="n">
        <v>110</v>
      </c>
      <c r="L608" s="7" t="n">
        <f aca="false">K608*1.35582</f>
        <v>149.1402</v>
      </c>
      <c r="M608" s="6" t="n">
        <v>2094</v>
      </c>
      <c r="N608" s="7" t="n">
        <f aca="false">M608*0.453592</f>
        <v>949.821648</v>
      </c>
      <c r="O608" s="3" t="s">
        <v>26</v>
      </c>
      <c r="P608" s="3" t="s">
        <v>27</v>
      </c>
      <c r="Q608" s="8" t="n">
        <f aca="false">J608/M608</f>
        <v>0.061127029608405</v>
      </c>
      <c r="R608" s="8" t="n">
        <f aca="false">J608/N608</f>
        <v>0.134762142207986</v>
      </c>
      <c r="S608" s="4" t="s">
        <v>35</v>
      </c>
    </row>
    <row r="609" customFormat="false" ht="14.25" hidden="false" customHeight="true" outlineLevel="0" collapsed="false">
      <c r="A609" s="3" t="s">
        <v>384</v>
      </c>
      <c r="B609" s="4" t="s">
        <v>785</v>
      </c>
      <c r="C609" s="4" t="s">
        <v>819</v>
      </c>
      <c r="D609" s="4" t="s">
        <v>171</v>
      </c>
      <c r="E609" s="3" t="s">
        <v>39</v>
      </c>
      <c r="F609" s="3" t="n">
        <v>600</v>
      </c>
      <c r="G609" s="4" t="s">
        <v>168</v>
      </c>
      <c r="H609" s="5"/>
      <c r="I609" s="3"/>
      <c r="J609" s="6" t="n">
        <v>201</v>
      </c>
      <c r="K609" s="6" t="n">
        <v>159</v>
      </c>
      <c r="L609" s="7" t="n">
        <f aca="false">K609*1.35582</f>
        <v>215.57538</v>
      </c>
      <c r="M609" s="6" t="n">
        <v>1969</v>
      </c>
      <c r="N609" s="7" t="n">
        <f aca="false">M609*0.453592</f>
        <v>893.122648</v>
      </c>
      <c r="O609" s="3"/>
      <c r="P609" s="3"/>
      <c r="Q609" s="8" t="n">
        <f aca="false">J609/M609</f>
        <v>0.102082275266633</v>
      </c>
      <c r="R609" s="8" t="n">
        <f aca="false">J609/N609</f>
        <v>0.225053076920741</v>
      </c>
      <c r="S609" s="4" t="s">
        <v>84</v>
      </c>
    </row>
    <row r="610" customFormat="false" ht="14.25" hidden="false" customHeight="true" outlineLevel="0" collapsed="false">
      <c r="A610" s="3" t="s">
        <v>255</v>
      </c>
      <c r="B610" s="4" t="s">
        <v>785</v>
      </c>
      <c r="C610" s="4" t="s">
        <v>820</v>
      </c>
      <c r="D610" s="4" t="s">
        <v>50</v>
      </c>
      <c r="E610" s="3" t="s">
        <v>23</v>
      </c>
      <c r="F610" s="3" t="n">
        <v>435</v>
      </c>
      <c r="G610" s="4" t="s">
        <v>168</v>
      </c>
      <c r="H610" s="5" t="n">
        <v>250000</v>
      </c>
      <c r="I610" s="3" t="s">
        <v>33</v>
      </c>
      <c r="J610" s="6" t="n">
        <v>133</v>
      </c>
      <c r="K610" s="6" t="n">
        <v>115</v>
      </c>
      <c r="L610" s="7" t="n">
        <f aca="false">K610*1.35582</f>
        <v>155.9193</v>
      </c>
      <c r="M610" s="6" t="n">
        <v>2094</v>
      </c>
      <c r="N610" s="7" t="n">
        <f aca="false">M610*0.453592</f>
        <v>949.821648</v>
      </c>
      <c r="O610" s="3"/>
      <c r="P610" s="3"/>
      <c r="Q610" s="8" t="n">
        <f aca="false">J610/M610</f>
        <v>0.0635148042024833</v>
      </c>
      <c r="R610" s="8" t="n">
        <f aca="false">J610/N610</f>
        <v>0.140026288387986</v>
      </c>
      <c r="S610" s="4" t="s">
        <v>28</v>
      </c>
    </row>
    <row r="611" customFormat="false" ht="14.25" hidden="false" customHeight="true" outlineLevel="0" collapsed="false">
      <c r="A611" s="3" t="s">
        <v>58</v>
      </c>
      <c r="B611" s="4" t="s">
        <v>785</v>
      </c>
      <c r="C611" s="4" t="s">
        <v>821</v>
      </c>
      <c r="D611" s="4" t="s">
        <v>120</v>
      </c>
      <c r="E611" s="3" t="s">
        <v>23</v>
      </c>
      <c r="F611" s="3" t="n">
        <v>453</v>
      </c>
      <c r="G611" s="4" t="s">
        <v>168</v>
      </c>
      <c r="H611" s="5" t="n">
        <v>28000</v>
      </c>
      <c r="I611" s="3" t="s">
        <v>25</v>
      </c>
      <c r="J611" s="6" t="n">
        <v>206</v>
      </c>
      <c r="K611" s="6" t="n">
        <v>203</v>
      </c>
      <c r="L611" s="7" t="n">
        <f aca="false">K611*1.35582</f>
        <v>275.23146</v>
      </c>
      <c r="M611" s="6" t="n">
        <v>3329</v>
      </c>
      <c r="N611" s="7" t="n">
        <f aca="false">M611*0.453592</f>
        <v>1510.007768</v>
      </c>
      <c r="O611" s="3" t="s">
        <v>26</v>
      </c>
      <c r="P611" s="3" t="s">
        <v>27</v>
      </c>
      <c r="Q611" s="8" t="n">
        <f aca="false">J611/M611</f>
        <v>0.0618804445779513</v>
      </c>
      <c r="R611" s="8" t="n">
        <f aca="false">J611/N611</f>
        <v>0.13642313924838</v>
      </c>
      <c r="S611" s="4" t="s">
        <v>35</v>
      </c>
    </row>
    <row r="612" customFormat="false" ht="14.25" hidden="false" customHeight="true" outlineLevel="0" collapsed="false">
      <c r="A612" s="3" t="s">
        <v>598</v>
      </c>
      <c r="B612" s="4" t="s">
        <v>785</v>
      </c>
      <c r="C612" s="4" t="s">
        <v>822</v>
      </c>
      <c r="D612" s="4" t="s">
        <v>120</v>
      </c>
      <c r="E612" s="3" t="s">
        <v>39</v>
      </c>
      <c r="F612" s="3" t="n">
        <v>529</v>
      </c>
      <c r="G612" s="4" t="s">
        <v>168</v>
      </c>
      <c r="H612" s="5" t="n">
        <v>60000</v>
      </c>
      <c r="I612" s="3" t="s">
        <v>25</v>
      </c>
      <c r="J612" s="6" t="n">
        <v>320</v>
      </c>
      <c r="K612" s="6" t="n">
        <v>315</v>
      </c>
      <c r="L612" s="7" t="n">
        <f aca="false">K612*1.35582</f>
        <v>427.0833</v>
      </c>
      <c r="M612" s="6" t="n">
        <v>3329</v>
      </c>
      <c r="N612" s="7" t="n">
        <f aca="false">M612*0.453592</f>
        <v>1510.007768</v>
      </c>
      <c r="O612" s="3" t="s">
        <v>26</v>
      </c>
      <c r="P612" s="3" t="s">
        <v>27</v>
      </c>
      <c r="Q612" s="8" t="n">
        <f aca="false">J612/M612</f>
        <v>0.0961249624511865</v>
      </c>
      <c r="R612" s="8" t="n">
        <f aca="false">J612/N612</f>
        <v>0.211919439609135</v>
      </c>
      <c r="S612" s="4" t="s">
        <v>112</v>
      </c>
    </row>
    <row r="613" customFormat="false" ht="14.25" hidden="false" customHeight="true" outlineLevel="0" collapsed="false">
      <c r="A613" s="3" t="s">
        <v>121</v>
      </c>
      <c r="B613" s="4" t="s">
        <v>785</v>
      </c>
      <c r="C613" s="4" t="s">
        <v>823</v>
      </c>
      <c r="D613" s="4" t="s">
        <v>260</v>
      </c>
      <c r="E613" s="3" t="s">
        <v>23</v>
      </c>
      <c r="F613" s="3" t="n">
        <v>409</v>
      </c>
      <c r="G613" s="4" t="s">
        <v>168</v>
      </c>
      <c r="H613" s="5" t="n">
        <v>34000</v>
      </c>
      <c r="I613" s="3" t="s">
        <v>25</v>
      </c>
      <c r="J613" s="6" t="n">
        <v>278</v>
      </c>
      <c r="K613" s="6" t="n">
        <v>265</v>
      </c>
      <c r="L613" s="7" t="n">
        <f aca="false">K613*1.35582</f>
        <v>359.2923</v>
      </c>
      <c r="M613" s="6" t="n">
        <v>4425</v>
      </c>
      <c r="N613" s="7" t="n">
        <f aca="false">M613*0.453592</f>
        <v>2007.1446</v>
      </c>
      <c r="O613" s="3" t="s">
        <v>62</v>
      </c>
      <c r="P613" s="3" t="s">
        <v>27</v>
      </c>
      <c r="Q613" s="8" t="n">
        <f aca="false">J613/M613</f>
        <v>0.0628248587570622</v>
      </c>
      <c r="R613" s="8" t="n">
        <f aca="false">J613/N613</f>
        <v>0.138505217810416</v>
      </c>
      <c r="S613" s="4" t="s">
        <v>35</v>
      </c>
    </row>
    <row r="614" customFormat="false" ht="14.25" hidden="false" customHeight="true" outlineLevel="0" collapsed="false">
      <c r="A614" s="3" t="s">
        <v>121</v>
      </c>
      <c r="B614" s="4" t="s">
        <v>785</v>
      </c>
      <c r="C614" s="4" t="s">
        <v>824</v>
      </c>
      <c r="D614" s="4" t="s">
        <v>103</v>
      </c>
      <c r="E614" s="3" t="s">
        <v>88</v>
      </c>
      <c r="F614" s="3" t="n">
        <v>998</v>
      </c>
      <c r="G614" s="4" t="s">
        <v>168</v>
      </c>
      <c r="H614" s="5" t="n">
        <v>500000</v>
      </c>
      <c r="I614" s="3" t="s">
        <v>296</v>
      </c>
      <c r="J614" s="6" t="n">
        <v>1149</v>
      </c>
      <c r="K614" s="6" t="n">
        <v>1042</v>
      </c>
      <c r="L614" s="7" t="n">
        <f aca="false">K614*1.35582</f>
        <v>1412.76444</v>
      </c>
      <c r="M614" s="6" t="n">
        <v>2661</v>
      </c>
      <c r="N614" s="7" t="n">
        <f aca="false">M614*0.453592</f>
        <v>1207.008312</v>
      </c>
      <c r="O614" s="3" t="s">
        <v>62</v>
      </c>
      <c r="P614" s="3" t="s">
        <v>67</v>
      </c>
      <c r="Q614" s="8" t="n">
        <f aca="false">J614/M614</f>
        <v>0.431792559188275</v>
      </c>
      <c r="R614" s="8" t="n">
        <f aca="false">J614/N614</f>
        <v>0.95194042044012</v>
      </c>
      <c r="S614" s="4" t="s">
        <v>75</v>
      </c>
    </row>
    <row r="615" customFormat="false" ht="14.25" hidden="false" customHeight="true" outlineLevel="0" collapsed="false">
      <c r="A615" s="3" t="s">
        <v>598</v>
      </c>
      <c r="B615" s="4" t="s">
        <v>825</v>
      </c>
      <c r="C615" s="4" t="s">
        <v>826</v>
      </c>
      <c r="D615" s="4" t="s">
        <v>186</v>
      </c>
      <c r="E615" s="3" t="s">
        <v>54</v>
      </c>
      <c r="F615" s="3" t="n">
        <v>770</v>
      </c>
      <c r="G615" s="4" t="s">
        <v>110</v>
      </c>
      <c r="H615" s="5" t="n">
        <v>750000</v>
      </c>
      <c r="I615" s="3" t="s">
        <v>55</v>
      </c>
      <c r="J615" s="6" t="n">
        <v>800</v>
      </c>
      <c r="K615" s="6" t="n">
        <v>649</v>
      </c>
      <c r="L615" s="7" t="n">
        <f aca="false">K615*1.35582</f>
        <v>879.92718</v>
      </c>
      <c r="M615" s="6" t="n">
        <v>2150</v>
      </c>
      <c r="N615" s="7" t="n">
        <f aca="false">M615*0.453592</f>
        <v>975.2228</v>
      </c>
      <c r="O615" s="3"/>
      <c r="P615" s="3"/>
      <c r="Q615" s="8" t="n">
        <f aca="false">J615/M615</f>
        <v>0.372093023255814</v>
      </c>
      <c r="R615" s="8" t="n">
        <f aca="false">J615/N615</f>
        <v>0.820325365649778</v>
      </c>
      <c r="S615" s="4" t="s">
        <v>28</v>
      </c>
    </row>
    <row r="616" customFormat="false" ht="14.25" hidden="false" customHeight="true" outlineLevel="0" collapsed="false">
      <c r="A616" s="3" t="s">
        <v>100</v>
      </c>
      <c r="B616" s="4" t="s">
        <v>825</v>
      </c>
      <c r="C616" s="4" t="s">
        <v>827</v>
      </c>
      <c r="D616" s="4" t="s">
        <v>22</v>
      </c>
      <c r="E616" s="3" t="s">
        <v>54</v>
      </c>
      <c r="F616" s="3" t="n">
        <v>729</v>
      </c>
      <c r="G616" s="4" t="s">
        <v>110</v>
      </c>
      <c r="H616" s="5" t="n">
        <v>250000</v>
      </c>
      <c r="I616" s="3" t="s">
        <v>25</v>
      </c>
      <c r="J616" s="6" t="n">
        <v>480</v>
      </c>
      <c r="K616" s="6" t="n">
        <v>430</v>
      </c>
      <c r="L616" s="7" t="n">
        <f aca="false">K616*1.35582</f>
        <v>583.0026</v>
      </c>
      <c r="M616" s="6" t="n">
        <v>2645</v>
      </c>
      <c r="N616" s="7" t="n">
        <f aca="false">M616*0.453592</f>
        <v>1199.75084</v>
      </c>
      <c r="O616" s="3" t="s">
        <v>26</v>
      </c>
      <c r="P616" s="3" t="s">
        <v>27</v>
      </c>
      <c r="Q616" s="8" t="n">
        <f aca="false">J616/M616</f>
        <v>0.181474480151229</v>
      </c>
      <c r="R616" s="8" t="n">
        <f aca="false">J616/N616</f>
        <v>0.400083070581555</v>
      </c>
      <c r="S616" s="4" t="s">
        <v>63</v>
      </c>
    </row>
    <row r="617" customFormat="false" ht="14.25" hidden="false" customHeight="true" outlineLevel="0" collapsed="false">
      <c r="A617" s="3" t="s">
        <v>195</v>
      </c>
      <c r="B617" s="4" t="s">
        <v>825</v>
      </c>
      <c r="C617" s="4" t="s">
        <v>828</v>
      </c>
      <c r="D617" s="4" t="s">
        <v>120</v>
      </c>
      <c r="E617" s="3" t="s">
        <v>70</v>
      </c>
      <c r="F617" s="3" t="n">
        <v>672</v>
      </c>
      <c r="G617" s="4" t="s">
        <v>110</v>
      </c>
      <c r="H617" s="5" t="n">
        <v>115000</v>
      </c>
      <c r="I617" s="3" t="s">
        <v>25</v>
      </c>
      <c r="J617" s="6" t="n">
        <v>406</v>
      </c>
      <c r="K617" s="6" t="n">
        <v>349</v>
      </c>
      <c r="L617" s="7" t="n">
        <f aca="false">K617*1.35582</f>
        <v>473.18118</v>
      </c>
      <c r="M617" s="6" t="n">
        <v>2377</v>
      </c>
      <c r="N617" s="7" t="n">
        <f aca="false">M617*0.453592</f>
        <v>1078.188184</v>
      </c>
      <c r="O617" s="3" t="s">
        <v>26</v>
      </c>
      <c r="P617" s="3" t="s">
        <v>27</v>
      </c>
      <c r="Q617" s="8" t="n">
        <f aca="false">J617/M617</f>
        <v>0.170803533866218</v>
      </c>
      <c r="R617" s="8" t="n">
        <f aca="false">J617/N617</f>
        <v>0.376557641815151</v>
      </c>
      <c r="S617" s="4" t="s">
        <v>35</v>
      </c>
    </row>
    <row r="618" customFormat="false" ht="14.25" hidden="false" customHeight="true" outlineLevel="0" collapsed="false">
      <c r="A618" s="3" t="s">
        <v>94</v>
      </c>
      <c r="B618" s="4" t="s">
        <v>829</v>
      </c>
      <c r="C618" s="4" t="s">
        <v>830</v>
      </c>
      <c r="D618" s="4" t="s">
        <v>103</v>
      </c>
      <c r="E618" s="3" t="s">
        <v>88</v>
      </c>
      <c r="F618" s="3" t="n">
        <v>925</v>
      </c>
      <c r="G618" s="4" t="s">
        <v>110</v>
      </c>
      <c r="H618" s="5" t="n">
        <v>150000</v>
      </c>
      <c r="I618" s="3" t="s">
        <v>55</v>
      </c>
      <c r="J618" s="6" t="n">
        <v>1020</v>
      </c>
      <c r="K618" s="6" t="n">
        <v>920</v>
      </c>
      <c r="L618" s="7" t="n">
        <f aca="false">K618*1.35582</f>
        <v>1247.3544</v>
      </c>
      <c r="M618" s="6" t="n">
        <v>2094</v>
      </c>
      <c r="N618" s="7" t="n">
        <f aca="false">M618*0.453592</f>
        <v>949.821648</v>
      </c>
      <c r="O618" s="3" t="s">
        <v>26</v>
      </c>
      <c r="P618" s="3" t="s">
        <v>67</v>
      </c>
      <c r="Q618" s="8" t="n">
        <f aca="false">J618/M618</f>
        <v>0.487106017191977</v>
      </c>
      <c r="R618" s="8" t="n">
        <f aca="false">J618/N618</f>
        <v>1.07388582071989</v>
      </c>
      <c r="S618" s="4" t="s">
        <v>35</v>
      </c>
    </row>
    <row r="619" customFormat="false" ht="14.25" hidden="false" customHeight="true" outlineLevel="0" collapsed="false">
      <c r="A619" s="3" t="s">
        <v>19</v>
      </c>
      <c r="B619" s="4" t="s">
        <v>831</v>
      </c>
      <c r="C619" s="4" t="s">
        <v>832</v>
      </c>
      <c r="D619" s="4" t="s">
        <v>136</v>
      </c>
      <c r="E619" s="3" t="s">
        <v>54</v>
      </c>
      <c r="F619" s="3" t="n">
        <v>764</v>
      </c>
      <c r="G619" s="4" t="s">
        <v>104</v>
      </c>
      <c r="H619" s="5" t="n">
        <v>150000</v>
      </c>
      <c r="I619" s="3" t="s">
        <v>55</v>
      </c>
      <c r="J619" s="6" t="n">
        <v>552</v>
      </c>
      <c r="K619" s="6" t="n">
        <v>464</v>
      </c>
      <c r="L619" s="7" t="n">
        <f aca="false">K619*1.35582</f>
        <v>629.10048</v>
      </c>
      <c r="M619" s="6" t="n">
        <v>2668</v>
      </c>
      <c r="N619" s="7" t="n">
        <f aca="false">M619*0.453592</f>
        <v>1210.183456</v>
      </c>
      <c r="O619" s="3" t="s">
        <v>62</v>
      </c>
      <c r="P619" s="3" t="s">
        <v>27</v>
      </c>
      <c r="Q619" s="8" t="n">
        <f aca="false">J619/M619</f>
        <v>0.206896551724138</v>
      </c>
      <c r="R619" s="8" t="n">
        <f aca="false">J619/N619</f>
        <v>0.456129190382851</v>
      </c>
      <c r="S619" s="4" t="s">
        <v>35</v>
      </c>
    </row>
    <row r="620" customFormat="false" ht="14.25" hidden="false" customHeight="true" outlineLevel="0" collapsed="false">
      <c r="A620" s="3" t="s">
        <v>302</v>
      </c>
      <c r="B620" s="4" t="s">
        <v>831</v>
      </c>
      <c r="C620" s="4" t="s">
        <v>833</v>
      </c>
      <c r="D620" s="4" t="s">
        <v>31</v>
      </c>
      <c r="E620" s="3" t="s">
        <v>32</v>
      </c>
      <c r="F620" s="3" t="n">
        <v>100</v>
      </c>
      <c r="G620" s="4" t="s">
        <v>104</v>
      </c>
      <c r="H620" s="5" t="n">
        <v>17000</v>
      </c>
      <c r="I620" s="3" t="s">
        <v>66</v>
      </c>
      <c r="J620" s="6" t="n">
        <v>40</v>
      </c>
      <c r="K620" s="6" t="n">
        <v>65</v>
      </c>
      <c r="L620" s="7" t="n">
        <f aca="false">K620*1.35582</f>
        <v>88.1283</v>
      </c>
      <c r="M620" s="6" t="n">
        <v>1760</v>
      </c>
      <c r="N620" s="7" t="n">
        <f aca="false">M620*0.453592</f>
        <v>798.32192</v>
      </c>
      <c r="O620" s="3" t="s">
        <v>26</v>
      </c>
      <c r="P620" s="3" t="s">
        <v>34</v>
      </c>
      <c r="Q620" s="8" t="n">
        <f aca="false">J620/M620</f>
        <v>0.0227272727272727</v>
      </c>
      <c r="R620" s="8" t="n">
        <f aca="false">J620/N620</f>
        <v>0.0501051004587222</v>
      </c>
      <c r="S620" s="4" t="s">
        <v>35</v>
      </c>
    </row>
    <row r="621" customFormat="false" ht="14.25" hidden="false" customHeight="true" outlineLevel="0" collapsed="false">
      <c r="A621" s="3" t="s">
        <v>233</v>
      </c>
      <c r="B621" s="4" t="s">
        <v>831</v>
      </c>
      <c r="C621" s="4" t="s">
        <v>834</v>
      </c>
      <c r="D621" s="4" t="s">
        <v>610</v>
      </c>
      <c r="E621" s="3" t="s">
        <v>32</v>
      </c>
      <c r="F621" s="3" t="n">
        <v>260</v>
      </c>
      <c r="G621" s="4" t="s">
        <v>104</v>
      </c>
      <c r="H621" s="5" t="n">
        <v>35000</v>
      </c>
      <c r="I621" s="3" t="s">
        <v>25</v>
      </c>
      <c r="J621" s="6" t="n">
        <v>80</v>
      </c>
      <c r="K621" s="6" t="n">
        <v>106</v>
      </c>
      <c r="L621" s="7" t="n">
        <f aca="false">K621*1.35582</f>
        <v>143.71692</v>
      </c>
      <c r="M621" s="6" t="n">
        <v>2400</v>
      </c>
      <c r="N621" s="7" t="n">
        <f aca="false">M621*0.453592</f>
        <v>1088.6208</v>
      </c>
      <c r="O621" s="3" t="s">
        <v>26</v>
      </c>
      <c r="P621" s="3" t="s">
        <v>34</v>
      </c>
      <c r="Q621" s="8" t="n">
        <f aca="false">J621/M621</f>
        <v>0.0333333333333333</v>
      </c>
      <c r="R621" s="8" t="n">
        <f aca="false">J621/N621</f>
        <v>0.0734874806727926</v>
      </c>
      <c r="S621" s="4" t="s">
        <v>35</v>
      </c>
    </row>
    <row r="622" customFormat="false" ht="14.25" hidden="false" customHeight="true" outlineLevel="0" collapsed="false">
      <c r="A622" s="3" t="s">
        <v>178</v>
      </c>
      <c r="B622" s="4" t="s">
        <v>831</v>
      </c>
      <c r="C622" s="4" t="s">
        <v>835</v>
      </c>
      <c r="D622" s="4" t="s">
        <v>50</v>
      </c>
      <c r="E622" s="3" t="s">
        <v>23</v>
      </c>
      <c r="F622" s="3" t="n">
        <v>426</v>
      </c>
      <c r="G622" s="4" t="s">
        <v>104</v>
      </c>
      <c r="H622" s="5" t="n">
        <v>30000</v>
      </c>
      <c r="I622" s="3" t="s">
        <v>33</v>
      </c>
      <c r="J622" s="6" t="n">
        <v>178</v>
      </c>
      <c r="K622" s="6" t="n">
        <v>177</v>
      </c>
      <c r="L622" s="7" t="n">
        <f aca="false">K622*1.35582</f>
        <v>239.98014</v>
      </c>
      <c r="M622" s="6" t="n">
        <v>2734</v>
      </c>
      <c r="N622" s="7" t="n">
        <f aca="false">M622*0.453592</f>
        <v>1240.120528</v>
      </c>
      <c r="O622" s="3" t="s">
        <v>47</v>
      </c>
      <c r="P622" s="3" t="s">
        <v>27</v>
      </c>
      <c r="Q622" s="8" t="n">
        <f aca="false">J622/M622</f>
        <v>0.0651060716898318</v>
      </c>
      <c r="R622" s="8" t="n">
        <f aca="false">J622/N622</f>
        <v>0.143534435549639</v>
      </c>
      <c r="S622" s="4" t="s">
        <v>35</v>
      </c>
    </row>
    <row r="623" customFormat="false" ht="14.25" hidden="false" customHeight="true" outlineLevel="0" collapsed="false">
      <c r="A623" s="3" t="s">
        <v>156</v>
      </c>
      <c r="B623" s="4" t="s">
        <v>831</v>
      </c>
      <c r="C623" s="4" t="s">
        <v>836</v>
      </c>
      <c r="D623" s="4" t="s">
        <v>50</v>
      </c>
      <c r="E623" s="3" t="s">
        <v>32</v>
      </c>
      <c r="F623" s="3" t="n">
        <v>314</v>
      </c>
      <c r="G623" s="4" t="s">
        <v>104</v>
      </c>
      <c r="H623" s="5" t="n">
        <v>18000</v>
      </c>
      <c r="I623" s="3" t="s">
        <v>33</v>
      </c>
      <c r="J623" s="6" t="n">
        <v>112</v>
      </c>
      <c r="K623" s="6" t="n">
        <v>109</v>
      </c>
      <c r="L623" s="7" t="n">
        <f aca="false">K623*1.35582</f>
        <v>147.78438</v>
      </c>
      <c r="M623" s="6" t="n">
        <v>1909</v>
      </c>
      <c r="N623" s="7" t="n">
        <f aca="false">M623*0.453592</f>
        <v>865.907128</v>
      </c>
      <c r="O623" s="3" t="s">
        <v>47</v>
      </c>
      <c r="P623" s="3" t="s">
        <v>27</v>
      </c>
      <c r="Q623" s="8" t="n">
        <f aca="false">J623/M623</f>
        <v>0.0586694604504976</v>
      </c>
      <c r="R623" s="8" t="n">
        <f aca="false">J623/N623</f>
        <v>0.129344125228173</v>
      </c>
      <c r="S623" s="4" t="s">
        <v>35</v>
      </c>
    </row>
    <row r="624" customFormat="false" ht="14.25" hidden="false" customHeight="true" outlineLevel="0" collapsed="false">
      <c r="A624" s="3" t="s">
        <v>58</v>
      </c>
      <c r="B624" s="4" t="s">
        <v>831</v>
      </c>
      <c r="C624" s="4" t="s">
        <v>837</v>
      </c>
      <c r="D624" s="4" t="s">
        <v>50</v>
      </c>
      <c r="E624" s="3" t="s">
        <v>32</v>
      </c>
      <c r="F624" s="3" t="n">
        <v>308</v>
      </c>
      <c r="G624" s="4" t="s">
        <v>104</v>
      </c>
      <c r="H624" s="5" t="n">
        <v>22000</v>
      </c>
      <c r="I624" s="3" t="s">
        <v>33</v>
      </c>
      <c r="J624" s="6" t="n">
        <v>139</v>
      </c>
      <c r="K624" s="6" t="n">
        <v>120</v>
      </c>
      <c r="L624" s="7" t="n">
        <f aca="false">K624*1.35582</f>
        <v>162.6984</v>
      </c>
      <c r="M624" s="6" t="n">
        <v>2425</v>
      </c>
      <c r="N624" s="7" t="n">
        <f aca="false">M624*0.453592</f>
        <v>1099.9606</v>
      </c>
      <c r="O624" s="3" t="s">
        <v>47</v>
      </c>
      <c r="P624" s="3" t="s">
        <v>27</v>
      </c>
      <c r="Q624" s="8" t="n">
        <f aca="false">J624/M624</f>
        <v>0.057319587628866</v>
      </c>
      <c r="R624" s="8" t="n">
        <f aca="false">J624/N624</f>
        <v>0.126368162641462</v>
      </c>
      <c r="S624" s="4" t="s">
        <v>35</v>
      </c>
    </row>
    <row r="625" customFormat="false" ht="14.25" hidden="false" customHeight="true" outlineLevel="0" collapsed="false">
      <c r="A625" s="3" t="s">
        <v>159</v>
      </c>
      <c r="B625" s="4" t="s">
        <v>831</v>
      </c>
      <c r="C625" s="4" t="s">
        <v>838</v>
      </c>
      <c r="D625" s="4" t="s">
        <v>147</v>
      </c>
      <c r="E625" s="3" t="s">
        <v>39</v>
      </c>
      <c r="F625" s="3" t="n">
        <v>526</v>
      </c>
      <c r="G625" s="4" t="s">
        <v>104</v>
      </c>
      <c r="H625" s="5" t="n">
        <v>20000</v>
      </c>
      <c r="I625" s="3" t="s">
        <v>25</v>
      </c>
      <c r="J625" s="6" t="n">
        <v>267</v>
      </c>
      <c r="K625" s="6" t="n">
        <v>254</v>
      </c>
      <c r="L625" s="7" t="n">
        <f aca="false">K625*1.35582</f>
        <v>344.37828</v>
      </c>
      <c r="M625" s="6" t="n">
        <v>3188</v>
      </c>
      <c r="N625" s="7" t="n">
        <f aca="false">M625*0.453592</f>
        <v>1446.051296</v>
      </c>
      <c r="O625" s="3" t="s">
        <v>62</v>
      </c>
      <c r="P625" s="3" t="s">
        <v>27</v>
      </c>
      <c r="Q625" s="8" t="n">
        <f aca="false">J625/M625</f>
        <v>0.0837515683814304</v>
      </c>
      <c r="R625" s="8" t="n">
        <f aca="false">J625/N625</f>
        <v>0.184640752882393</v>
      </c>
      <c r="S625" s="4" t="s">
        <v>35</v>
      </c>
    </row>
    <row r="626" customFormat="false" ht="14.25" hidden="false" customHeight="true" outlineLevel="0" collapsed="false">
      <c r="A626" s="3" t="s">
        <v>68</v>
      </c>
      <c r="B626" s="4" t="s">
        <v>831</v>
      </c>
      <c r="C626" s="4" t="s">
        <v>838</v>
      </c>
      <c r="D626" s="4" t="s">
        <v>147</v>
      </c>
      <c r="E626" s="3" t="s">
        <v>39</v>
      </c>
      <c r="F626" s="3" t="n">
        <v>536</v>
      </c>
      <c r="G626" s="4" t="s">
        <v>104</v>
      </c>
      <c r="H626" s="5" t="n">
        <v>27000</v>
      </c>
      <c r="I626" s="3" t="s">
        <v>33</v>
      </c>
      <c r="J626" s="6" t="n">
        <v>296</v>
      </c>
      <c r="K626" s="6" t="n">
        <v>280</v>
      </c>
      <c r="L626" s="7" t="n">
        <f aca="false">K626*1.35582</f>
        <v>379.6296</v>
      </c>
      <c r="M626" s="6" t="n">
        <v>3254</v>
      </c>
      <c r="N626" s="7" t="n">
        <f aca="false">M626*0.453592</f>
        <v>1475.988368</v>
      </c>
      <c r="O626" s="3" t="s">
        <v>62</v>
      </c>
      <c r="P626" s="3" t="s">
        <v>27</v>
      </c>
      <c r="Q626" s="8" t="n">
        <f aca="false">J626/M626</f>
        <v>0.0909649661954518</v>
      </c>
      <c r="R626" s="8" t="n">
        <f aca="false">J626/N626</f>
        <v>0.200543585855685</v>
      </c>
      <c r="S626" s="4" t="s">
        <v>35</v>
      </c>
    </row>
    <row r="627" customFormat="false" ht="14.25" hidden="false" customHeight="true" outlineLevel="0" collapsed="false">
      <c r="A627" s="3" t="s">
        <v>76</v>
      </c>
      <c r="B627" s="4" t="s">
        <v>831</v>
      </c>
      <c r="C627" s="4" t="s">
        <v>838</v>
      </c>
      <c r="D627" s="4" t="s">
        <v>147</v>
      </c>
      <c r="E627" s="3" t="s">
        <v>39</v>
      </c>
      <c r="F627" s="3" t="n">
        <v>546</v>
      </c>
      <c r="G627" s="4" t="s">
        <v>104</v>
      </c>
      <c r="H627" s="5" t="n">
        <v>29000</v>
      </c>
      <c r="I627" s="3" t="s">
        <v>33</v>
      </c>
      <c r="J627" s="6" t="n">
        <v>288</v>
      </c>
      <c r="K627" s="6" t="n">
        <v>280</v>
      </c>
      <c r="L627" s="7" t="n">
        <f aca="false">K627*1.35582</f>
        <v>379.6296</v>
      </c>
      <c r="M627" s="6" t="n">
        <v>3300</v>
      </c>
      <c r="N627" s="7" t="n">
        <f aca="false">M627*0.453592</f>
        <v>1496.8536</v>
      </c>
      <c r="O627" s="3" t="s">
        <v>62</v>
      </c>
      <c r="P627" s="3" t="s">
        <v>27</v>
      </c>
      <c r="Q627" s="8" t="n">
        <f aca="false">J627/M627</f>
        <v>0.0872727272727273</v>
      </c>
      <c r="R627" s="8" t="n">
        <f aca="false">J627/N627</f>
        <v>0.192403585761493</v>
      </c>
      <c r="S627" s="4" t="s">
        <v>35</v>
      </c>
    </row>
    <row r="628" customFormat="false" ht="14.25" hidden="false" customHeight="true" outlineLevel="0" collapsed="false">
      <c r="A628" s="3" t="s">
        <v>51</v>
      </c>
      <c r="B628" s="4" t="s">
        <v>831</v>
      </c>
      <c r="C628" s="4" t="s">
        <v>838</v>
      </c>
      <c r="D628" s="4" t="s">
        <v>147</v>
      </c>
      <c r="E628" s="3" t="s">
        <v>39</v>
      </c>
      <c r="F628" s="3" t="n">
        <v>548</v>
      </c>
      <c r="G628" s="4" t="s">
        <v>104</v>
      </c>
      <c r="H628" s="5" t="n">
        <v>35000</v>
      </c>
      <c r="I628" s="3" t="s">
        <v>25</v>
      </c>
      <c r="J628" s="6" t="n">
        <v>315</v>
      </c>
      <c r="K628" s="6" t="n">
        <v>280</v>
      </c>
      <c r="L628" s="7" t="n">
        <f aca="false">K628*1.35582</f>
        <v>379.6296</v>
      </c>
      <c r="M628" s="6" t="n">
        <v>3417</v>
      </c>
      <c r="N628" s="7" t="n">
        <f aca="false">M628*0.453592</f>
        <v>1549.923864</v>
      </c>
      <c r="O628" s="3" t="s">
        <v>62</v>
      </c>
      <c r="P628" s="3" t="s">
        <v>27</v>
      </c>
      <c r="Q628" s="8" t="n">
        <f aca="false">J628/M628</f>
        <v>0.0921861281826163</v>
      </c>
      <c r="R628" s="8" t="n">
        <f aca="false">J628/N628</f>
        <v>0.203235789393588</v>
      </c>
      <c r="S628" s="4" t="s">
        <v>35</v>
      </c>
    </row>
    <row r="629" customFormat="false" ht="14.25" hidden="false" customHeight="true" outlineLevel="0" collapsed="false">
      <c r="A629" s="3" t="s">
        <v>277</v>
      </c>
      <c r="B629" s="4" t="s">
        <v>831</v>
      </c>
      <c r="C629" s="4" t="s">
        <v>839</v>
      </c>
      <c r="D629" s="4" t="s">
        <v>254</v>
      </c>
      <c r="E629" s="3" t="s">
        <v>32</v>
      </c>
      <c r="F629" s="3" t="n">
        <v>100</v>
      </c>
      <c r="G629" s="4" t="s">
        <v>104</v>
      </c>
      <c r="H629" s="5" t="n">
        <v>16000</v>
      </c>
      <c r="I629" s="3" t="s">
        <v>55</v>
      </c>
      <c r="J629" s="6" t="n">
        <v>52</v>
      </c>
      <c r="K629" s="6" t="n">
        <v>72</v>
      </c>
      <c r="L629" s="7" t="n">
        <f aca="false">K629*1.35582</f>
        <v>97.61904</v>
      </c>
      <c r="M629" s="6" t="n">
        <v>2174</v>
      </c>
      <c r="N629" s="7" t="n">
        <f aca="false">M629*0.453592</f>
        <v>986.109008</v>
      </c>
      <c r="O629" s="3" t="s">
        <v>47</v>
      </c>
      <c r="P629" s="3" t="s">
        <v>27</v>
      </c>
      <c r="Q629" s="8" t="n">
        <f aca="false">J629/M629</f>
        <v>0.0239190432382705</v>
      </c>
      <c r="R629" s="8" t="n">
        <f aca="false">J629/N629</f>
        <v>0.0527325068305227</v>
      </c>
      <c r="S629" s="4" t="s">
        <v>35</v>
      </c>
    </row>
    <row r="630" customFormat="false" ht="14.25" hidden="false" customHeight="true" outlineLevel="0" collapsed="false">
      <c r="A630" s="3" t="s">
        <v>325</v>
      </c>
      <c r="B630" s="4" t="s">
        <v>831</v>
      </c>
      <c r="C630" s="4" t="s">
        <v>840</v>
      </c>
      <c r="D630" s="4" t="s">
        <v>158</v>
      </c>
      <c r="E630" s="3" t="s">
        <v>23</v>
      </c>
      <c r="F630" s="3" t="n">
        <v>440</v>
      </c>
      <c r="G630" s="4" t="s">
        <v>104</v>
      </c>
      <c r="H630" s="5"/>
      <c r="I630" s="3"/>
      <c r="J630" s="6" t="n">
        <v>158</v>
      </c>
      <c r="K630" s="6" t="n">
        <v>166</v>
      </c>
      <c r="L630" s="7" t="n">
        <f aca="false">K630*1.35582</f>
        <v>225.06612</v>
      </c>
      <c r="M630" s="6" t="n">
        <v>2635</v>
      </c>
      <c r="N630" s="7" t="n">
        <f aca="false">M630*0.453592</f>
        <v>1195.21492</v>
      </c>
      <c r="O630" s="3"/>
      <c r="P630" s="3"/>
      <c r="Q630" s="8" t="n">
        <f aca="false">J630/M630</f>
        <v>0.0599620493358634</v>
      </c>
      <c r="R630" s="8" t="n">
        <f aca="false">J630/N630</f>
        <v>0.132193798250109</v>
      </c>
      <c r="S630" s="4" t="s">
        <v>28</v>
      </c>
    </row>
    <row r="631" customFormat="false" ht="14.25" hidden="false" customHeight="true" outlineLevel="0" collapsed="false">
      <c r="A631" s="3" t="s">
        <v>145</v>
      </c>
      <c r="B631" s="4" t="s">
        <v>831</v>
      </c>
      <c r="C631" s="4" t="s">
        <v>841</v>
      </c>
      <c r="D631" s="4" t="s">
        <v>38</v>
      </c>
      <c r="E631" s="3" t="s">
        <v>39</v>
      </c>
      <c r="F631" s="3" t="n">
        <v>548</v>
      </c>
      <c r="G631" s="4" t="s">
        <v>104</v>
      </c>
      <c r="H631" s="5" t="n">
        <v>15000</v>
      </c>
      <c r="I631" s="3" t="s">
        <v>25</v>
      </c>
      <c r="J631" s="6" t="n">
        <v>261</v>
      </c>
      <c r="K631" s="6" t="n">
        <v>258</v>
      </c>
      <c r="L631" s="7" t="n">
        <f aca="false">K631*1.35582</f>
        <v>349.80156</v>
      </c>
      <c r="M631" s="6" t="n">
        <v>2963</v>
      </c>
      <c r="N631" s="7" t="n">
        <f aca="false">M631*0.453592</f>
        <v>1343.993096</v>
      </c>
      <c r="O631" s="3" t="s">
        <v>47</v>
      </c>
      <c r="P631" s="3" t="s">
        <v>27</v>
      </c>
      <c r="Q631" s="8" t="n">
        <f aca="false">J631/M631</f>
        <v>0.0880863989200135</v>
      </c>
      <c r="R631" s="8" t="n">
        <f aca="false">J631/N631</f>
        <v>0.194197426145112</v>
      </c>
      <c r="S631" s="4" t="s">
        <v>35</v>
      </c>
    </row>
    <row r="632" customFormat="false" ht="14.25" hidden="false" customHeight="true" outlineLevel="0" collapsed="false">
      <c r="A632" s="3" t="s">
        <v>302</v>
      </c>
      <c r="B632" s="4" t="s">
        <v>831</v>
      </c>
      <c r="C632" s="4" t="s">
        <v>842</v>
      </c>
      <c r="D632" s="4" t="s">
        <v>31</v>
      </c>
      <c r="E632" s="3" t="s">
        <v>32</v>
      </c>
      <c r="F632" s="3" t="n">
        <v>100</v>
      </c>
      <c r="G632" s="4" t="s">
        <v>104</v>
      </c>
      <c r="H632" s="5" t="n">
        <v>178000</v>
      </c>
      <c r="I632" s="3" t="s">
        <v>25</v>
      </c>
      <c r="J632" s="6" t="n">
        <v>50</v>
      </c>
      <c r="K632" s="6" t="n">
        <v>82</v>
      </c>
      <c r="L632" s="7" t="n">
        <f aca="false">K632*1.35582</f>
        <v>111.17724</v>
      </c>
      <c r="M632" s="6" t="n">
        <v>2513</v>
      </c>
      <c r="N632" s="7" t="n">
        <f aca="false">M632*0.453592</f>
        <v>1139.876696</v>
      </c>
      <c r="O632" s="3" t="s">
        <v>26</v>
      </c>
      <c r="P632" s="3" t="s">
        <v>34</v>
      </c>
      <c r="Q632" s="8" t="n">
        <f aca="false">J632/M632</f>
        <v>0.0198965380023876</v>
      </c>
      <c r="R632" s="8" t="n">
        <f aca="false">J632/N632</f>
        <v>0.0438643935571782</v>
      </c>
      <c r="S632" s="4" t="s">
        <v>99</v>
      </c>
    </row>
    <row r="633" customFormat="false" ht="14.25" hidden="false" customHeight="true" outlineLevel="0" collapsed="false">
      <c r="A633" s="3" t="s">
        <v>156</v>
      </c>
      <c r="B633" s="4" t="s">
        <v>843</v>
      </c>
      <c r="C633" s="4" t="s">
        <v>844</v>
      </c>
      <c r="D633" s="4" t="s">
        <v>42</v>
      </c>
      <c r="E633" s="3" t="s">
        <v>23</v>
      </c>
      <c r="F633" s="3" t="n">
        <v>435</v>
      </c>
      <c r="G633" s="4" t="s">
        <v>483</v>
      </c>
      <c r="H633" s="5" t="n">
        <v>30000</v>
      </c>
      <c r="I633" s="3" t="s">
        <v>33</v>
      </c>
      <c r="J633" s="6" t="n">
        <v>225</v>
      </c>
      <c r="K633" s="6" t="n">
        <v>250</v>
      </c>
      <c r="L633" s="7" t="n">
        <f aca="false">K633*1.35582</f>
        <v>338.955</v>
      </c>
      <c r="M633" s="6" t="n">
        <v>3175</v>
      </c>
      <c r="N633" s="7" t="n">
        <f aca="false">M633*0.453592</f>
        <v>1440.1546</v>
      </c>
      <c r="O633" s="3" t="s">
        <v>26</v>
      </c>
      <c r="P633" s="3" t="s">
        <v>27</v>
      </c>
      <c r="Q633" s="8" t="n">
        <f aca="false">J633/M633</f>
        <v>0.0708661417322835</v>
      </c>
      <c r="R633" s="8" t="n">
        <f aca="false">J633/N633</f>
        <v>0.156233226627197</v>
      </c>
      <c r="S633" s="4" t="s">
        <v>35</v>
      </c>
    </row>
    <row r="634" customFormat="false" ht="14.25" hidden="false" customHeight="true" outlineLevel="0" collapsed="false">
      <c r="A634" s="3" t="s">
        <v>51</v>
      </c>
      <c r="B634" s="4" t="s">
        <v>845</v>
      </c>
      <c r="C634" s="4" t="s">
        <v>846</v>
      </c>
      <c r="D634" s="4" t="s">
        <v>38</v>
      </c>
      <c r="E634" s="3" t="s">
        <v>32</v>
      </c>
      <c r="F634" s="3" t="n">
        <v>100</v>
      </c>
      <c r="G634" s="4" t="s">
        <v>847</v>
      </c>
      <c r="H634" s="5" t="n">
        <v>5000</v>
      </c>
      <c r="I634" s="3" t="s">
        <v>25</v>
      </c>
      <c r="J634" s="6" t="n">
        <v>27</v>
      </c>
      <c r="K634" s="6" t="n">
        <v>63</v>
      </c>
      <c r="L634" s="7" t="n">
        <f aca="false">K634*1.35582</f>
        <v>85.41666</v>
      </c>
      <c r="M634" s="6" t="n">
        <v>1543</v>
      </c>
      <c r="N634" s="7" t="n">
        <f aca="false">M634*0.453592</f>
        <v>699.892456</v>
      </c>
      <c r="O634" s="3" t="s">
        <v>26</v>
      </c>
      <c r="P634" s="3" t="s">
        <v>34</v>
      </c>
      <c r="Q634" s="8" t="n">
        <f aca="false">J634/M634</f>
        <v>0.01749837977965</v>
      </c>
      <c r="R634" s="8" t="n">
        <f aca="false">J634/N634</f>
        <v>0.0385773553758665</v>
      </c>
      <c r="S634" s="4" t="s">
        <v>35</v>
      </c>
    </row>
    <row r="635" customFormat="false" ht="14.25" hidden="false" customHeight="true" outlineLevel="0" collapsed="false">
      <c r="A635" s="3" t="s">
        <v>106</v>
      </c>
      <c r="B635" s="4" t="s">
        <v>845</v>
      </c>
      <c r="C635" s="4" t="s">
        <v>848</v>
      </c>
      <c r="D635" s="4" t="s">
        <v>254</v>
      </c>
      <c r="E635" s="3" t="s">
        <v>32</v>
      </c>
      <c r="F635" s="3" t="n">
        <v>107</v>
      </c>
      <c r="G635" s="4" t="s">
        <v>847</v>
      </c>
      <c r="H635" s="5" t="n">
        <v>2000</v>
      </c>
      <c r="I635" s="3" t="s">
        <v>25</v>
      </c>
      <c r="J635" s="6" t="n">
        <v>84</v>
      </c>
      <c r="K635" s="6" t="n">
        <v>80</v>
      </c>
      <c r="L635" s="7" t="n">
        <f aca="false">K635*1.35582</f>
        <v>108.4656</v>
      </c>
      <c r="M635" s="6" t="n">
        <v>2789</v>
      </c>
      <c r="N635" s="7" t="n">
        <f aca="false">M635*0.453592</f>
        <v>1265.068088</v>
      </c>
      <c r="O635" s="3" t="s">
        <v>26</v>
      </c>
      <c r="P635" s="3" t="s">
        <v>27</v>
      </c>
      <c r="Q635" s="8" t="n">
        <f aca="false">J635/M635</f>
        <v>0.030118321979204</v>
      </c>
      <c r="R635" s="8" t="n">
        <f aca="false">J635/N635</f>
        <v>0.066399588130311</v>
      </c>
      <c r="S635" s="4" t="s">
        <v>35</v>
      </c>
    </row>
    <row r="636" customFormat="false" ht="14.25" hidden="false" customHeight="true" outlineLevel="0" collapsed="false">
      <c r="A636" s="3" t="s">
        <v>141</v>
      </c>
      <c r="B636" s="4" t="s">
        <v>845</v>
      </c>
      <c r="C636" s="4" t="s">
        <v>849</v>
      </c>
      <c r="D636" s="4" t="s">
        <v>171</v>
      </c>
      <c r="E636" s="3" t="s">
        <v>54</v>
      </c>
      <c r="F636" s="3" t="n">
        <v>800</v>
      </c>
      <c r="G636" s="4" t="s">
        <v>847</v>
      </c>
      <c r="H636" s="5"/>
      <c r="I636" s="3"/>
      <c r="J636" s="6" t="n">
        <v>526</v>
      </c>
      <c r="K636" s="6" t="n">
        <v>345</v>
      </c>
      <c r="L636" s="7" t="n">
        <f aca="false">K636*1.35582</f>
        <v>467.7579</v>
      </c>
      <c r="M636" s="6" t="n">
        <v>2551</v>
      </c>
      <c r="N636" s="7" t="n">
        <f aca="false">M636*0.453592</f>
        <v>1157.113192</v>
      </c>
      <c r="O636" s="3"/>
      <c r="P636" s="3"/>
      <c r="Q636" s="8" t="n">
        <f aca="false">J636/M636</f>
        <v>0.206193649549196</v>
      </c>
      <c r="R636" s="8" t="n">
        <f aca="false">J636/N636</f>
        <v>0.454579555082974</v>
      </c>
      <c r="S636" s="4" t="s">
        <v>105</v>
      </c>
    </row>
    <row r="637" customFormat="false" ht="14.25" hidden="false" customHeight="true" outlineLevel="0" collapsed="false">
      <c r="A637" s="3" t="s">
        <v>121</v>
      </c>
      <c r="B637" s="4" t="s">
        <v>850</v>
      </c>
      <c r="C637" s="4" t="s">
        <v>851</v>
      </c>
      <c r="D637" s="4" t="s">
        <v>126</v>
      </c>
      <c r="E637" s="3" t="s">
        <v>88</v>
      </c>
      <c r="F637" s="3" t="n">
        <v>906</v>
      </c>
      <c r="G637" s="4" t="s">
        <v>852</v>
      </c>
      <c r="H637" s="5" t="n">
        <v>1200000</v>
      </c>
      <c r="I637" s="3" t="s">
        <v>66</v>
      </c>
      <c r="J637" s="6" t="n">
        <v>1177</v>
      </c>
      <c r="K637" s="6" t="n">
        <v>811</v>
      </c>
      <c r="L637" s="7" t="n">
        <f aca="false">K637*1.35582</f>
        <v>1099.57002</v>
      </c>
      <c r="M637" s="6" t="n">
        <v>3410</v>
      </c>
      <c r="N637" s="7" t="n">
        <f aca="false">M637*0.453592</f>
        <v>1546.74872</v>
      </c>
      <c r="O637" s="3" t="s">
        <v>26</v>
      </c>
      <c r="P637" s="3" t="s">
        <v>67</v>
      </c>
      <c r="Q637" s="8" t="n">
        <f aca="false">J637/M637</f>
        <v>0.345161290322581</v>
      </c>
      <c r="R637" s="8" t="n">
        <f aca="false">J637/N637</f>
        <v>0.760951009547304</v>
      </c>
      <c r="S637" s="4" t="s">
        <v>35</v>
      </c>
    </row>
  </sheetData>
  <autoFilter ref="A1:S6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2026-09-09T12:34:21Z</dcterms:created>
  <dc:creator>openpyxl</dc:creator>
  <dc:description/>
  <dc:language>en-US</dc:language>
  <cp:lastModifiedBy>Sandeep Kumar</cp:lastModifiedBy>
  <dcterms:modified xsi:type="dcterms:W3CDTF">2026-09-09T14:20:13Z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